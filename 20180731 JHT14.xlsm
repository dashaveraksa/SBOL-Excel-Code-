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dashaveraksa/Desktop/"/>
    </mc:Choice>
  </mc:AlternateContent>
  <xr:revisionPtr revIDLastSave="0" documentId="13_ncr:1_{7828C439-B9C6-9C4E-A8E1-63BFB6016867}" xr6:coauthVersionLast="43" xr6:coauthVersionMax="43" xr10:uidLastSave="{00000000-0000-0000-0000-000000000000}"/>
  <bookViews>
    <workbookView xWindow="15600" yWindow="460" windowWidth="32480" windowHeight="13640" tabRatio="857" activeTab="3" xr2:uid="{00000000-000D-0000-FFFF-FFFF00000000}"/>
  </bookViews>
  <sheets>
    <sheet name="Experiment" sheetId="6" r:id="rId1"/>
    <sheet name="Protocol" sheetId="26" r:id="rId2"/>
    <sheet name="Samples" sheetId="2" r:id="rId3"/>
    <sheet name="Experiment DNA sample" sheetId="21" r:id="rId4"/>
    <sheet name="Calibration DNA sample" sheetId="22" r:id="rId5"/>
    <sheet name="Calibration" sheetId="1" r:id="rId6"/>
    <sheet name="Comparative Analysis" sheetId="12" r:id="rId7"/>
    <sheet name="Transfer Curve Analysis" sheetId="13" r:id="rId8"/>
    <sheet name="TASBE Data" sheetId="14" r:id="rId9"/>
    <sheet name="Optional Settings" sheetId="7" r:id="rId10"/>
    <sheet name="PEI transfection" sheetId="24" r:id="rId11"/>
    <sheet name="Growth and maintenance of 293FT" sheetId="23" r:id="rId12"/>
    <sheet name="Dox induction" sheetId="25" r:id="rId13"/>
  </sheets>
  <functionGroups builtInGroupCount="19"/>
  <definedNames>
    <definedName name="I2896I">1</definedName>
    <definedName name="I3010I">0</definedName>
    <definedName name="I3535I">1</definedName>
    <definedName name="I3903I">0</definedName>
    <definedName name="I4018I">0</definedName>
    <definedName name="I4140I">1</definedName>
    <definedName name="I4619I">0</definedName>
    <definedName name="I4922I">0</definedName>
    <definedName name="I5334I">0</definedName>
    <definedName name="I7055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22" l="1"/>
  <c r="F3" i="22"/>
  <c r="E3" i="22"/>
  <c r="D3" i="22"/>
  <c r="C3" i="22"/>
  <c r="B3" i="22"/>
  <c r="F36" i="21"/>
  <c r="E36" i="21"/>
  <c r="D36" i="21"/>
  <c r="C36" i="21"/>
  <c r="B36" i="21"/>
  <c r="F25" i="21"/>
  <c r="E25" i="21"/>
  <c r="D25" i="21"/>
  <c r="C25" i="21"/>
  <c r="B25" i="21"/>
  <c r="F14" i="21"/>
  <c r="E14" i="21"/>
  <c r="D14" i="21"/>
  <c r="C14" i="21"/>
  <c r="B14" i="21"/>
  <c r="F3" i="21"/>
  <c r="E3" i="21"/>
  <c r="D3" i="21"/>
  <c r="C3" i="21"/>
  <c r="B3" i="21"/>
  <c r="L141" i="14" l="1"/>
  <c r="L140" i="14"/>
  <c r="L139" i="14"/>
  <c r="L138" i="14"/>
  <c r="L137" i="14"/>
  <c r="L136" i="14"/>
  <c r="L135" i="14"/>
  <c r="L134" i="14"/>
  <c r="L133" i="14"/>
  <c r="L132" i="14"/>
  <c r="L131" i="14"/>
  <c r="L130" i="14"/>
  <c r="L129" i="14"/>
  <c r="L128" i="14"/>
  <c r="L127" i="14"/>
  <c r="L126" i="14"/>
  <c r="L125" i="14"/>
  <c r="L124" i="14"/>
  <c r="L123" i="14"/>
  <c r="L122" i="14"/>
  <c r="L101" i="14"/>
  <c r="L100" i="14"/>
  <c r="L99" i="14"/>
  <c r="L98" i="14"/>
  <c r="L97" i="14"/>
  <c r="L96" i="14"/>
  <c r="L95" i="14"/>
  <c r="L94" i="14"/>
  <c r="L93" i="14"/>
  <c r="L92" i="14"/>
  <c r="L91" i="14"/>
  <c r="L90" i="14"/>
  <c r="L89" i="14"/>
  <c r="L88" i="14"/>
  <c r="L87" i="14"/>
  <c r="L86" i="14"/>
  <c r="L85" i="14"/>
  <c r="L84" i="14"/>
  <c r="L83" i="14"/>
  <c r="L82" i="14"/>
  <c r="Y65" i="14"/>
  <c r="X65" i="14"/>
  <c r="W65" i="14"/>
  <c r="V65" i="14"/>
  <c r="Y64" i="14"/>
  <c r="X64" i="14"/>
  <c r="W64" i="14"/>
  <c r="V64" i="14"/>
  <c r="Y63" i="14"/>
  <c r="X63" i="14"/>
  <c r="W63" i="14"/>
  <c r="V63" i="14"/>
  <c r="Y62" i="14"/>
  <c r="X62" i="14"/>
  <c r="W62" i="14"/>
  <c r="V62" i="14"/>
  <c r="Y61" i="14"/>
  <c r="X61" i="14"/>
  <c r="W61" i="14"/>
  <c r="V61" i="14"/>
  <c r="L61" i="14"/>
  <c r="Y60" i="14"/>
  <c r="X60" i="14"/>
  <c r="W60" i="14"/>
  <c r="V60" i="14"/>
  <c r="L60" i="14"/>
  <c r="Y59" i="14"/>
  <c r="X59" i="14"/>
  <c r="W59" i="14"/>
  <c r="V59" i="14"/>
  <c r="L59" i="14"/>
  <c r="Y58" i="14"/>
  <c r="X58" i="14"/>
  <c r="W58" i="14"/>
  <c r="V58" i="14"/>
  <c r="L58" i="14"/>
  <c r="Y57" i="14"/>
  <c r="X57" i="14"/>
  <c r="W57" i="14"/>
  <c r="V57" i="14"/>
  <c r="L57" i="14"/>
  <c r="Y56" i="14"/>
  <c r="X56" i="14"/>
  <c r="W56" i="14"/>
  <c r="V56" i="14"/>
  <c r="L56" i="14"/>
  <c r="Y55" i="14"/>
  <c r="X55" i="14"/>
  <c r="W55" i="14"/>
  <c r="V55" i="14"/>
  <c r="L55" i="14"/>
  <c r="Y54" i="14"/>
  <c r="X54" i="14"/>
  <c r="W54" i="14"/>
  <c r="V54" i="14"/>
  <c r="L54" i="14"/>
  <c r="Y53" i="14"/>
  <c r="X53" i="14"/>
  <c r="W53" i="14"/>
  <c r="V53" i="14"/>
  <c r="L53" i="14"/>
  <c r="Y52" i="14"/>
  <c r="X52" i="14"/>
  <c r="W52" i="14"/>
  <c r="V52" i="14"/>
  <c r="L52" i="14"/>
  <c r="Y51" i="14"/>
  <c r="X51" i="14"/>
  <c r="W51" i="14"/>
  <c r="V51" i="14"/>
  <c r="L51" i="14"/>
  <c r="Y50" i="14"/>
  <c r="X50" i="14"/>
  <c r="W50" i="14"/>
  <c r="V50" i="14"/>
  <c r="L50" i="14"/>
  <c r="Y49" i="14"/>
  <c r="X49" i="14"/>
  <c r="W49" i="14"/>
  <c r="V49" i="14"/>
  <c r="L49" i="14"/>
  <c r="Y48" i="14"/>
  <c r="X48" i="14"/>
  <c r="W48" i="14"/>
  <c r="V48" i="14"/>
  <c r="L48" i="14"/>
  <c r="Y47" i="14"/>
  <c r="X47" i="14"/>
  <c r="W47" i="14"/>
  <c r="V47" i="14"/>
  <c r="L47" i="14"/>
  <c r="AQ46" i="14"/>
  <c r="AP46" i="14"/>
  <c r="AO46" i="14"/>
  <c r="AN46" i="14"/>
  <c r="Y46" i="14"/>
  <c r="X46" i="14"/>
  <c r="W46" i="14"/>
  <c r="V46" i="14"/>
  <c r="L46" i="14"/>
  <c r="AQ45" i="14"/>
  <c r="AP45" i="14"/>
  <c r="AO45" i="14"/>
  <c r="AN45" i="14"/>
  <c r="L45" i="14"/>
  <c r="AQ44" i="14"/>
  <c r="AP44" i="14"/>
  <c r="AO44" i="14"/>
  <c r="AN44" i="14"/>
  <c r="L44" i="14"/>
  <c r="AQ43" i="14"/>
  <c r="AP43" i="14"/>
  <c r="AO43" i="14"/>
  <c r="AN43" i="14"/>
  <c r="L43" i="14"/>
  <c r="AQ42" i="14"/>
  <c r="AP42" i="14"/>
  <c r="AO42" i="14"/>
  <c r="AN42" i="14"/>
  <c r="AJ42" i="14"/>
  <c r="AI42" i="14"/>
  <c r="AH42" i="14"/>
  <c r="AG42" i="14"/>
  <c r="AF42" i="14"/>
  <c r="AJ65" i="14" s="1"/>
  <c r="AE42" i="14"/>
  <c r="AD42" i="14"/>
  <c r="AH65" i="14" s="1"/>
  <c r="AC42" i="14"/>
  <c r="AG65" i="14" s="1"/>
  <c r="T42" i="14"/>
  <c r="S42" i="14"/>
  <c r="R42" i="14"/>
  <c r="Q42" i="14"/>
  <c r="L42" i="14"/>
  <c r="AJ41" i="14"/>
  <c r="AI41" i="14"/>
  <c r="AH41" i="14"/>
  <c r="AG41" i="14"/>
  <c r="AF41" i="14"/>
  <c r="AF65" i="14" s="1"/>
  <c r="AE41" i="14"/>
  <c r="AE65" i="14" s="1"/>
  <c r="AD41" i="14"/>
  <c r="AD65" i="14" s="1"/>
  <c r="AC41" i="14"/>
  <c r="AC65" i="14" s="1"/>
  <c r="V89" i="14" s="1"/>
  <c r="T41" i="14"/>
  <c r="S41" i="14"/>
  <c r="R41" i="14"/>
  <c r="Q41" i="14"/>
  <c r="AJ40" i="14"/>
  <c r="AI40" i="14"/>
  <c r="AH40" i="14"/>
  <c r="AG40" i="14"/>
  <c r="AF40" i="14"/>
  <c r="AE40" i="14"/>
  <c r="AD40" i="14"/>
  <c r="AC40" i="14"/>
  <c r="AG64" i="14" s="1"/>
  <c r="T40" i="14"/>
  <c r="S40" i="14"/>
  <c r="R40" i="14"/>
  <c r="Q40" i="14"/>
  <c r="AJ39" i="14"/>
  <c r="AI39" i="14"/>
  <c r="AH39" i="14"/>
  <c r="AG39" i="14"/>
  <c r="AF39" i="14"/>
  <c r="AF64" i="14" s="1"/>
  <c r="AE39" i="14"/>
  <c r="AE64" i="14" s="1"/>
  <c r="AD39" i="14"/>
  <c r="AD64" i="14" s="1"/>
  <c r="AC39" i="14"/>
  <c r="AC64" i="14" s="1"/>
  <c r="T39" i="14"/>
  <c r="S39" i="14"/>
  <c r="R39" i="14"/>
  <c r="Q39" i="14"/>
  <c r="AJ38" i="14"/>
  <c r="AI38" i="14"/>
  <c r="AH38" i="14"/>
  <c r="AG38" i="14"/>
  <c r="AF38" i="14"/>
  <c r="AE38" i="14"/>
  <c r="AD38" i="14"/>
  <c r="AC38" i="14"/>
  <c r="AH63" i="14" s="1"/>
  <c r="T38" i="14"/>
  <c r="S38" i="14"/>
  <c r="R38" i="14"/>
  <c r="Q38" i="14"/>
  <c r="AQ37" i="14"/>
  <c r="AP37" i="14"/>
  <c r="AO37" i="14"/>
  <c r="AN37" i="14"/>
  <c r="AJ37" i="14"/>
  <c r="AI37" i="14"/>
  <c r="AH37" i="14"/>
  <c r="AG37" i="14"/>
  <c r="AF37" i="14"/>
  <c r="AQ7" i="14" s="1"/>
  <c r="AE37" i="14"/>
  <c r="AE63" i="14" s="1"/>
  <c r="AD37" i="14"/>
  <c r="AD63" i="14" s="1"/>
  <c r="AC37" i="14"/>
  <c r="AC63" i="14" s="1"/>
  <c r="T37" i="14"/>
  <c r="S37" i="14"/>
  <c r="R37" i="14"/>
  <c r="Q37" i="14"/>
  <c r="AQ36" i="14"/>
  <c r="AP36" i="14"/>
  <c r="AO36" i="14"/>
  <c r="AN36" i="14"/>
  <c r="AJ36" i="14"/>
  <c r="AI36" i="14"/>
  <c r="AH36" i="14"/>
  <c r="AG36" i="14"/>
  <c r="AF36" i="14"/>
  <c r="AE36" i="14"/>
  <c r="AD36" i="14"/>
  <c r="AC36" i="14"/>
  <c r="AG62" i="14" s="1"/>
  <c r="T36" i="14"/>
  <c r="S36" i="14"/>
  <c r="R36" i="14"/>
  <c r="Q36" i="14"/>
  <c r="AQ35" i="14"/>
  <c r="AP35" i="14"/>
  <c r="AO35" i="14"/>
  <c r="AN35" i="14"/>
  <c r="AJ35" i="14"/>
  <c r="AI35" i="14"/>
  <c r="AH35" i="14"/>
  <c r="AG35" i="14"/>
  <c r="AF35" i="14"/>
  <c r="AF62" i="14" s="1"/>
  <c r="AE35" i="14"/>
  <c r="AE62" i="14" s="1"/>
  <c r="AD35" i="14"/>
  <c r="AD62" i="14" s="1"/>
  <c r="AC35" i="14"/>
  <c r="AC62" i="14" s="1"/>
  <c r="V86" i="14" s="1"/>
  <c r="T35" i="14"/>
  <c r="S35" i="14"/>
  <c r="R35" i="14"/>
  <c r="Q35" i="14"/>
  <c r="AQ34" i="14"/>
  <c r="AP34" i="14"/>
  <c r="AO34" i="14"/>
  <c r="AN34" i="14"/>
  <c r="AJ34" i="14"/>
  <c r="AI34" i="14"/>
  <c r="AH34" i="14"/>
  <c r="AG34" i="14"/>
  <c r="AF34" i="14"/>
  <c r="AE34" i="14"/>
  <c r="AD34" i="14"/>
  <c r="AC34" i="14"/>
  <c r="AH61" i="14" s="1"/>
  <c r="T34" i="14"/>
  <c r="S34" i="14"/>
  <c r="R34" i="14"/>
  <c r="Q34" i="14"/>
  <c r="AQ33" i="14"/>
  <c r="AP33" i="14"/>
  <c r="AO33" i="14"/>
  <c r="AN33" i="14"/>
  <c r="AJ33" i="14"/>
  <c r="AI33" i="14"/>
  <c r="AH33" i="14"/>
  <c r="AG33" i="14"/>
  <c r="AF33" i="14"/>
  <c r="AQ5" i="14" s="1"/>
  <c r="AE33" i="14"/>
  <c r="AE61" i="14" s="1"/>
  <c r="AD33" i="14"/>
  <c r="AD61" i="14" s="1"/>
  <c r="AC33" i="14"/>
  <c r="AC61" i="14" s="1"/>
  <c r="T33" i="14"/>
  <c r="S33" i="14"/>
  <c r="R33" i="14"/>
  <c r="Q33" i="14"/>
  <c r="AJ32" i="14"/>
  <c r="AI32" i="14"/>
  <c r="AH32" i="14"/>
  <c r="AG32" i="14"/>
  <c r="AF32" i="14"/>
  <c r="AE32" i="14"/>
  <c r="AD32" i="14"/>
  <c r="AC32" i="14"/>
  <c r="AG60" i="14" s="1"/>
  <c r="T32" i="14"/>
  <c r="S32" i="14"/>
  <c r="R32" i="14"/>
  <c r="Q32" i="14"/>
  <c r="AJ31" i="14"/>
  <c r="AI31" i="14"/>
  <c r="AH31" i="14"/>
  <c r="AG31" i="14"/>
  <c r="AF31" i="14"/>
  <c r="AF60" i="14" s="1"/>
  <c r="AE31" i="14"/>
  <c r="AE60" i="14" s="1"/>
  <c r="AD31" i="14"/>
  <c r="AC31" i="14"/>
  <c r="AC60" i="14" s="1"/>
  <c r="T31" i="14"/>
  <c r="S31" i="14"/>
  <c r="R31" i="14"/>
  <c r="Q31" i="14"/>
  <c r="AJ30" i="14"/>
  <c r="AI30" i="14"/>
  <c r="AH30" i="14"/>
  <c r="AG30" i="14"/>
  <c r="AF30" i="14"/>
  <c r="AE30" i="14"/>
  <c r="AD30" i="14"/>
  <c r="AH59" i="14" s="1"/>
  <c r="AC30" i="14"/>
  <c r="AJ59" i="14" s="1"/>
  <c r="T30" i="14"/>
  <c r="S30" i="14"/>
  <c r="R30" i="14"/>
  <c r="Q30" i="14"/>
  <c r="AJ29" i="14"/>
  <c r="AI29" i="14"/>
  <c r="AH29" i="14"/>
  <c r="AG29" i="14"/>
  <c r="AF29" i="14"/>
  <c r="AP8" i="14" s="1"/>
  <c r="AE29" i="14"/>
  <c r="AE59" i="14" s="1"/>
  <c r="AD29" i="14"/>
  <c r="AD59" i="14" s="1"/>
  <c r="AC29" i="14"/>
  <c r="AC59" i="14" s="1"/>
  <c r="T29" i="14"/>
  <c r="S29" i="14"/>
  <c r="R29" i="14"/>
  <c r="Q29" i="14"/>
  <c r="AJ28" i="14"/>
  <c r="AI28" i="14"/>
  <c r="AH28" i="14"/>
  <c r="AG28" i="14"/>
  <c r="AF28" i="14"/>
  <c r="AJ58" i="14" s="1"/>
  <c r="AE28" i="14"/>
  <c r="AD28" i="14"/>
  <c r="AC28" i="14"/>
  <c r="AG58" i="14" s="1"/>
  <c r="T28" i="14"/>
  <c r="S28" i="14"/>
  <c r="R28" i="14"/>
  <c r="Q28" i="14"/>
  <c r="AJ27" i="14"/>
  <c r="AI27" i="14"/>
  <c r="AH27" i="14"/>
  <c r="AG27" i="14"/>
  <c r="AF27" i="14"/>
  <c r="AF58" i="14" s="1"/>
  <c r="Y82" i="14" s="1"/>
  <c r="AE27" i="14"/>
  <c r="AE58" i="14" s="1"/>
  <c r="AD27" i="14"/>
  <c r="AD58" i="14" s="1"/>
  <c r="AC27" i="14"/>
  <c r="AC58" i="14" s="1"/>
  <c r="V82" i="14" s="1"/>
  <c r="T27" i="14"/>
  <c r="S27" i="14"/>
  <c r="R27" i="14"/>
  <c r="Q27" i="14"/>
  <c r="AJ26" i="14"/>
  <c r="AI26" i="14"/>
  <c r="AH26" i="14"/>
  <c r="AG26" i="14"/>
  <c r="AF26" i="14"/>
  <c r="AJ57" i="14" s="1"/>
  <c r="AE26" i="14"/>
  <c r="AD26" i="14"/>
  <c r="AC26" i="14"/>
  <c r="AP15" i="14" s="1"/>
  <c r="T26" i="14"/>
  <c r="S26" i="14"/>
  <c r="R26" i="14"/>
  <c r="Q26" i="14"/>
  <c r="AJ25" i="14"/>
  <c r="AI25" i="14"/>
  <c r="AH25" i="14"/>
  <c r="AG25" i="14"/>
  <c r="AF25" i="14"/>
  <c r="AF57" i="14" s="1"/>
  <c r="AE25" i="14"/>
  <c r="AE57" i="14" s="1"/>
  <c r="AD25" i="14"/>
  <c r="AD57" i="14" s="1"/>
  <c r="AC25" i="14"/>
  <c r="AC57" i="14" s="1"/>
  <c r="T25" i="14"/>
  <c r="S25" i="14"/>
  <c r="R25" i="14"/>
  <c r="Q25" i="14"/>
  <c r="AJ24" i="14"/>
  <c r="AI24" i="14"/>
  <c r="AH24" i="14"/>
  <c r="AG24" i="14"/>
  <c r="AF24" i="14"/>
  <c r="AE24" i="14"/>
  <c r="AD24" i="14"/>
  <c r="AC24" i="14"/>
  <c r="AI56" i="14" s="1"/>
  <c r="T24" i="14"/>
  <c r="S24" i="14"/>
  <c r="R24" i="14"/>
  <c r="Q24" i="14"/>
  <c r="AJ23" i="14"/>
  <c r="AI23" i="14"/>
  <c r="AH23" i="14"/>
  <c r="AG23" i="14"/>
  <c r="AF23" i="14"/>
  <c r="AF56" i="14" s="1"/>
  <c r="AE23" i="14"/>
  <c r="AE56" i="14" s="1"/>
  <c r="AD23" i="14"/>
  <c r="AD56" i="14" s="1"/>
  <c r="AC23" i="14"/>
  <c r="AC56" i="14" s="1"/>
  <c r="T23" i="14"/>
  <c r="S23" i="14"/>
  <c r="R23" i="14"/>
  <c r="Q23" i="14"/>
  <c r="AJ22" i="14"/>
  <c r="AI22" i="14"/>
  <c r="AH22" i="14"/>
  <c r="AG22" i="14"/>
  <c r="AF22" i="14"/>
  <c r="AE22" i="14"/>
  <c r="AD22" i="14"/>
  <c r="AC22" i="14"/>
  <c r="AG55" i="14" s="1"/>
  <c r="T22" i="14"/>
  <c r="S22" i="14"/>
  <c r="R22" i="14"/>
  <c r="Q22" i="14"/>
  <c r="AJ21" i="14"/>
  <c r="AI21" i="14"/>
  <c r="AH21" i="14"/>
  <c r="AG21" i="14"/>
  <c r="AF21" i="14"/>
  <c r="AE21" i="14"/>
  <c r="AE55" i="14" s="1"/>
  <c r="AD21" i="14"/>
  <c r="AD55" i="14" s="1"/>
  <c r="AC21" i="14"/>
  <c r="AC55" i="14" s="1"/>
  <c r="V79" i="14" s="1"/>
  <c r="T21" i="14"/>
  <c r="S21" i="14"/>
  <c r="R21" i="14"/>
  <c r="Q21" i="14"/>
  <c r="AJ20" i="14"/>
  <c r="AI20" i="14"/>
  <c r="AH20" i="14"/>
  <c r="AG20" i="14"/>
  <c r="AF20" i="14"/>
  <c r="AE20" i="14"/>
  <c r="AI54" i="14" s="1"/>
  <c r="AD20" i="14"/>
  <c r="AC20" i="14"/>
  <c r="AG54" i="14" s="1"/>
  <c r="T20" i="14"/>
  <c r="S20" i="14"/>
  <c r="R20" i="14"/>
  <c r="Q20" i="14"/>
  <c r="AJ19" i="14"/>
  <c r="AI19" i="14"/>
  <c r="AH19" i="14"/>
  <c r="AG19" i="14"/>
  <c r="AF19" i="14"/>
  <c r="AE19" i="14"/>
  <c r="AE54" i="14" s="1"/>
  <c r="AD19" i="14"/>
  <c r="AD54" i="14" s="1"/>
  <c r="AC19" i="14"/>
  <c r="AC54" i="14" s="1"/>
  <c r="V78" i="14" s="1"/>
  <c r="T19" i="14"/>
  <c r="S19" i="14"/>
  <c r="R19" i="14"/>
  <c r="Q19" i="14"/>
  <c r="AJ18" i="14"/>
  <c r="AI18" i="14"/>
  <c r="AH18" i="14"/>
  <c r="AG18" i="14"/>
  <c r="AF18" i="14"/>
  <c r="AE18" i="14"/>
  <c r="AD18" i="14"/>
  <c r="AC18" i="14"/>
  <c r="AG53" i="14" s="1"/>
  <c r="T18" i="14"/>
  <c r="S18" i="14"/>
  <c r="R18" i="14"/>
  <c r="Q18" i="14"/>
  <c r="AJ17" i="14"/>
  <c r="AI17" i="14"/>
  <c r="AH17" i="14"/>
  <c r="AG17" i="14"/>
  <c r="AF17" i="14"/>
  <c r="AF53" i="14" s="1"/>
  <c r="AE17" i="14"/>
  <c r="AE53" i="14" s="1"/>
  <c r="AD17" i="14"/>
  <c r="AD53" i="14" s="1"/>
  <c r="AC17" i="14"/>
  <c r="AC53" i="14" s="1"/>
  <c r="V77" i="14" s="1"/>
  <c r="T17" i="14"/>
  <c r="S17" i="14"/>
  <c r="R17" i="14"/>
  <c r="Q17" i="14"/>
  <c r="AJ16" i="14"/>
  <c r="AI16" i="14"/>
  <c r="AH16" i="14"/>
  <c r="AG16" i="14"/>
  <c r="AF16" i="14"/>
  <c r="AJ52" i="14" s="1"/>
  <c r="AE16" i="14"/>
  <c r="AI52" i="14" s="1"/>
  <c r="AD16" i="14"/>
  <c r="AH52" i="14" s="1"/>
  <c r="AC16" i="14"/>
  <c r="AG52" i="14" s="1"/>
  <c r="T16" i="14"/>
  <c r="S16" i="14"/>
  <c r="R16" i="14"/>
  <c r="Q16" i="14"/>
  <c r="AO15" i="14"/>
  <c r="AJ15" i="14"/>
  <c r="AI15" i="14"/>
  <c r="AH15" i="14"/>
  <c r="AG15" i="14"/>
  <c r="AF15" i="14"/>
  <c r="AF52" i="14" s="1"/>
  <c r="Y76" i="14" s="1"/>
  <c r="AE15" i="14"/>
  <c r="AE52" i="14" s="1"/>
  <c r="AD15" i="14"/>
  <c r="AC15" i="14"/>
  <c r="AC52" i="14" s="1"/>
  <c r="T15" i="14"/>
  <c r="S15" i="14"/>
  <c r="R15" i="14"/>
  <c r="Q15" i="14"/>
  <c r="AJ14" i="14"/>
  <c r="AI14" i="14"/>
  <c r="AH14" i="14"/>
  <c r="AG14" i="14"/>
  <c r="AF14" i="14"/>
  <c r="AO14" i="14" s="1"/>
  <c r="AE14" i="14"/>
  <c r="AD14" i="14"/>
  <c r="AH51" i="14" s="1"/>
  <c r="AC14" i="14"/>
  <c r="T14" i="14"/>
  <c r="S14" i="14"/>
  <c r="R14" i="14"/>
  <c r="Q14" i="14"/>
  <c r="AJ13" i="14"/>
  <c r="AI13" i="14"/>
  <c r="AH13" i="14"/>
  <c r="AG13" i="14"/>
  <c r="AF13" i="14"/>
  <c r="AO5" i="14" s="1"/>
  <c r="AE13" i="14"/>
  <c r="AE51" i="14" s="1"/>
  <c r="AD13" i="14"/>
  <c r="AD51" i="14" s="1"/>
  <c r="AC13" i="14"/>
  <c r="AC51" i="14" s="1"/>
  <c r="T13" i="14"/>
  <c r="S13" i="14"/>
  <c r="R13" i="14"/>
  <c r="Q13" i="14"/>
  <c r="AJ12" i="14"/>
  <c r="AI12" i="14"/>
  <c r="AH12" i="14"/>
  <c r="AG12" i="14"/>
  <c r="AF12" i="14"/>
  <c r="AE12" i="14"/>
  <c r="AD12" i="14"/>
  <c r="AC12" i="14"/>
  <c r="AG50" i="14" s="1"/>
  <c r="T12" i="14"/>
  <c r="S12" i="14"/>
  <c r="R12" i="14"/>
  <c r="Q12" i="14"/>
  <c r="AJ11" i="14"/>
  <c r="AI11" i="14"/>
  <c r="AH11" i="14"/>
  <c r="AG11" i="14"/>
  <c r="AF11" i="14"/>
  <c r="AF50" i="14" s="1"/>
  <c r="AE11" i="14"/>
  <c r="AE50" i="14" s="1"/>
  <c r="AD11" i="14"/>
  <c r="AD50" i="14" s="1"/>
  <c r="AC11" i="14"/>
  <c r="AC50" i="14" s="1"/>
  <c r="T11" i="14"/>
  <c r="S11" i="14"/>
  <c r="R11" i="14"/>
  <c r="Q11" i="14"/>
  <c r="AJ10" i="14"/>
  <c r="AI10" i="14"/>
  <c r="AH10" i="14"/>
  <c r="AG10" i="14"/>
  <c r="AF10" i="14"/>
  <c r="AJ49" i="14" s="1"/>
  <c r="AE10" i="14"/>
  <c r="AD10" i="14"/>
  <c r="AC10" i="14"/>
  <c r="T10" i="14"/>
  <c r="S10" i="14"/>
  <c r="R10" i="14"/>
  <c r="Q10" i="14"/>
  <c r="AJ9" i="14"/>
  <c r="AI9" i="14"/>
  <c r="AH9" i="14"/>
  <c r="AG9" i="14"/>
  <c r="AF9" i="14"/>
  <c r="AF49" i="14" s="1"/>
  <c r="AE9" i="14"/>
  <c r="AE49" i="14" s="1"/>
  <c r="AD9" i="14"/>
  <c r="AD49" i="14" s="1"/>
  <c r="AC9" i="14"/>
  <c r="AC49" i="14" s="1"/>
  <c r="T9" i="14"/>
  <c r="S9" i="14"/>
  <c r="R9" i="14"/>
  <c r="Q9" i="14"/>
  <c r="AN8" i="14"/>
  <c r="AJ8" i="14"/>
  <c r="AI8" i="14"/>
  <c r="AH8" i="14"/>
  <c r="AG8" i="14"/>
  <c r="AF8" i="14"/>
  <c r="AE8" i="14"/>
  <c r="AD8" i="14"/>
  <c r="AC8" i="14"/>
  <c r="AI48" i="14" s="1"/>
  <c r="T8" i="14"/>
  <c r="S8" i="14"/>
  <c r="R8" i="14"/>
  <c r="Q8" i="14"/>
  <c r="AP7" i="14"/>
  <c r="AO7" i="14"/>
  <c r="AJ7" i="14"/>
  <c r="AI7" i="14"/>
  <c r="AH7" i="14"/>
  <c r="AG7" i="14"/>
  <c r="AF7" i="14"/>
  <c r="AF48" i="14" s="1"/>
  <c r="AE7" i="14"/>
  <c r="AD7" i="14"/>
  <c r="AD48" i="14" s="1"/>
  <c r="AC7" i="14"/>
  <c r="T7" i="14"/>
  <c r="S7" i="14"/>
  <c r="R7" i="14"/>
  <c r="Q7" i="14"/>
  <c r="AP6" i="14"/>
  <c r="AP24" i="14" s="1"/>
  <c r="AO6" i="14"/>
  <c r="AO24" i="14" s="1"/>
  <c r="AJ6" i="14"/>
  <c r="AI6" i="14"/>
  <c r="AH6" i="14"/>
  <c r="AG6" i="14"/>
  <c r="AF6" i="14"/>
  <c r="AJ47" i="14" s="1"/>
  <c r="AE6" i="14"/>
  <c r="AD6" i="14"/>
  <c r="AC6" i="14"/>
  <c r="AG47" i="14" s="1"/>
  <c r="T6" i="14"/>
  <c r="S6" i="14"/>
  <c r="R6" i="14"/>
  <c r="Q6" i="14"/>
  <c r="AP5" i="14"/>
  <c r="AJ5" i="14"/>
  <c r="AI5" i="14"/>
  <c r="AH5" i="14"/>
  <c r="AG5" i="14"/>
  <c r="AF5" i="14"/>
  <c r="AF47" i="14" s="1"/>
  <c r="AE5" i="14"/>
  <c r="AE47" i="14" s="1"/>
  <c r="AD5" i="14"/>
  <c r="AD47" i="14" s="1"/>
  <c r="AC5" i="14"/>
  <c r="AC47" i="14" s="1"/>
  <c r="T5" i="14"/>
  <c r="S5" i="14"/>
  <c r="R5" i="14"/>
  <c r="Q5" i="14"/>
  <c r="AJ4" i="14"/>
  <c r="AI4" i="14"/>
  <c r="AH4" i="14"/>
  <c r="AG4" i="14"/>
  <c r="AF4" i="14"/>
  <c r="AE4" i="14"/>
  <c r="AD4" i="14"/>
  <c r="AC4" i="14"/>
  <c r="AG46" i="14" s="1"/>
  <c r="T4" i="14"/>
  <c r="S4" i="14"/>
  <c r="R4" i="14"/>
  <c r="Q4" i="14"/>
  <c r="AJ3" i="14"/>
  <c r="AI3" i="14"/>
  <c r="AH3" i="14"/>
  <c r="AG3" i="14"/>
  <c r="AF3" i="14"/>
  <c r="AE3" i="14"/>
  <c r="AE46" i="14" s="1"/>
  <c r="AD3" i="14"/>
  <c r="AD46" i="14" s="1"/>
  <c r="AC3" i="14"/>
  <c r="AC46" i="14" s="1"/>
  <c r="T3" i="14"/>
  <c r="S3" i="14"/>
  <c r="R3" i="14"/>
  <c r="Q3" i="14"/>
  <c r="AF46" i="14" l="1"/>
  <c r="AN6" i="14"/>
  <c r="AO25" i="14"/>
  <c r="AH49" i="14"/>
  <c r="W73" i="14" s="1"/>
  <c r="AH50" i="14"/>
  <c r="W74" i="14" s="1"/>
  <c r="W75" i="14"/>
  <c r="AI53" i="14"/>
  <c r="X78" i="14"/>
  <c r="X80" i="14"/>
  <c r="AI57" i="14"/>
  <c r="AI58" i="14"/>
  <c r="AI60" i="14"/>
  <c r="X85" i="14"/>
  <c r="AI61" i="14"/>
  <c r="X86" i="14"/>
  <c r="AI62" i="14"/>
  <c r="X87" i="14"/>
  <c r="AI63" i="14"/>
  <c r="X88" i="14"/>
  <c r="AI64" i="14"/>
  <c r="AG56" i="14"/>
  <c r="W70" i="14"/>
  <c r="AH46" i="14"/>
  <c r="AI46" i="14"/>
  <c r="X70" i="14" s="1"/>
  <c r="AH47" i="14"/>
  <c r="AE48" i="14"/>
  <c r="X72" i="14" s="1"/>
  <c r="AJ48" i="14"/>
  <c r="AI49" i="14"/>
  <c r="X73" i="14" s="1"/>
  <c r="AI50" i="14"/>
  <c r="AD52" i="14"/>
  <c r="W76" i="14" s="1"/>
  <c r="AO16" i="14"/>
  <c r="AJ53" i="14"/>
  <c r="Y77" i="14" s="1"/>
  <c r="AO8" i="14"/>
  <c r="AF55" i="14"/>
  <c r="AJ56" i="14"/>
  <c r="Y80" i="14" s="1"/>
  <c r="Y81" i="14"/>
  <c r="Y84" i="14"/>
  <c r="AJ60" i="14"/>
  <c r="AJ61" i="14"/>
  <c r="AQ15" i="14"/>
  <c r="AJ63" i="14"/>
  <c r="AQ17" i="14"/>
  <c r="AI65" i="14"/>
  <c r="X89" i="14" s="1"/>
  <c r="AG48" i="14"/>
  <c r="Y73" i="14"/>
  <c r="AO23" i="14"/>
  <c r="V80" i="14"/>
  <c r="V81" i="14"/>
  <c r="V84" i="14"/>
  <c r="AG57" i="14"/>
  <c r="AC48" i="14"/>
  <c r="V72" i="14" s="1"/>
  <c r="AN7" i="14"/>
  <c r="AH48" i="14"/>
  <c r="AN17" i="14"/>
  <c r="AJ51" i="14"/>
  <c r="AH53" i="14"/>
  <c r="W77" i="14" s="1"/>
  <c r="AH54" i="14"/>
  <c r="W78" i="14" s="1"/>
  <c r="AH55" i="14"/>
  <c r="W79" i="14" s="1"/>
  <c r="W80" i="14"/>
  <c r="AH56" i="14"/>
  <c r="W81" i="14"/>
  <c r="AH57" i="14"/>
  <c r="W82" i="14"/>
  <c r="AH58" i="14"/>
  <c r="W83" i="14"/>
  <c r="AD60" i="14"/>
  <c r="W85" i="14"/>
  <c r="AH62" i="14"/>
  <c r="W87" i="14"/>
  <c r="AH64" i="14"/>
  <c r="W89" i="14"/>
  <c r="X74" i="14"/>
  <c r="AN26" i="14"/>
  <c r="W72" i="14"/>
  <c r="X77" i="14"/>
  <c r="X81" i="14"/>
  <c r="Y89" i="14"/>
  <c r="Y86" i="14"/>
  <c r="W71" i="14"/>
  <c r="X82" i="14"/>
  <c r="X84" i="14"/>
  <c r="Y72" i="14"/>
  <c r="V88" i="14"/>
  <c r="V76" i="14"/>
  <c r="Y70" i="14"/>
  <c r="V70" i="14"/>
  <c r="V71" i="14"/>
  <c r="V74" i="14"/>
  <c r="W88" i="14"/>
  <c r="Y71" i="14"/>
  <c r="X76" i="14"/>
  <c r="W86" i="14"/>
  <c r="AH60" i="14"/>
  <c r="W84" i="14" s="1"/>
  <c r="AJ46" i="14"/>
  <c r="AI47" i="14"/>
  <c r="X71" i="14" s="1"/>
  <c r="AG49" i="14"/>
  <c r="V73" i="14" s="1"/>
  <c r="AF54" i="14"/>
  <c r="AF51" i="14"/>
  <c r="AJ55" i="14"/>
  <c r="Y79" i="14" s="1"/>
  <c r="AF59" i="14"/>
  <c r="Y83" i="14" s="1"/>
  <c r="AJ50" i="14"/>
  <c r="Y74" i="14" s="1"/>
  <c r="AI55" i="14"/>
  <c r="X79" i="14" s="1"/>
  <c r="AG51" i="14"/>
  <c r="V75" i="14" s="1"/>
  <c r="AG59" i="14"/>
  <c r="V83" i="14" s="1"/>
  <c r="AF61" i="14"/>
  <c r="Y85" i="14" s="1"/>
  <c r="AJ62" i="14"/>
  <c r="AF63" i="14"/>
  <c r="Y87" i="14" s="1"/>
  <c r="AJ64" i="14"/>
  <c r="Y88" i="14" s="1"/>
  <c r="AN5" i="14"/>
  <c r="AN9" i="14"/>
  <c r="AN14" i="14"/>
  <c r="AN15" i="14"/>
  <c r="AN24" i="14" s="1"/>
  <c r="AN16" i="14"/>
  <c r="AN25" i="14" s="1"/>
  <c r="AN18" i="14"/>
  <c r="AI51" i="14"/>
  <c r="X75" i="14" s="1"/>
  <c r="AJ54" i="14"/>
  <c r="AI59" i="14"/>
  <c r="X83" i="14" s="1"/>
  <c r="AG61" i="14"/>
  <c r="V85" i="14" s="1"/>
  <c r="AG63" i="14"/>
  <c r="V87" i="14" s="1"/>
  <c r="AO9" i="14"/>
  <c r="AO17" i="14"/>
  <c r="AO26" i="14" s="1"/>
  <c r="AP9" i="14"/>
  <c r="AP14" i="14"/>
  <c r="AP23" i="14" s="1"/>
  <c r="AP16" i="14"/>
  <c r="AP25" i="14" s="1"/>
  <c r="AP17" i="14"/>
  <c r="AP26" i="14" s="1"/>
  <c r="AP18" i="14"/>
  <c r="AO18" i="14"/>
  <c r="AQ6" i="14"/>
  <c r="AQ24" i="14" s="1"/>
  <c r="AQ8" i="14"/>
  <c r="AQ26" i="14" s="1"/>
  <c r="AQ9" i="14"/>
  <c r="AQ14" i="14"/>
  <c r="AQ23" i="14" s="1"/>
  <c r="AQ16" i="14"/>
  <c r="AQ25" i="14" s="1"/>
  <c r="AQ18" i="14"/>
  <c r="Y78" i="14" l="1"/>
  <c r="AO27" i="14"/>
  <c r="AN27" i="14"/>
  <c r="Y75" i="14"/>
  <c r="AN23" i="14"/>
  <c r="AQ27" i="14"/>
  <c r="AP27" i="14"/>
  <c r="B170" i="2" l="1"/>
  <c r="B169" i="2"/>
  <c r="B168" i="2"/>
  <c r="B167" i="2"/>
  <c r="B166" i="2"/>
  <c r="B165" i="2"/>
  <c r="B164" i="2"/>
  <c r="B163" i="2"/>
  <c r="B162" i="2"/>
  <c r="B161" i="2"/>
  <c r="B160" i="2"/>
  <c r="B159" i="2"/>
  <c r="B158" i="2"/>
  <c r="B157" i="2" l="1"/>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alcChain>
</file>

<file path=xl/sharedStrings.xml><?xml version="1.0" encoding="utf-8"?>
<sst xmlns="http://schemas.openxmlformats.org/spreadsheetml/2006/main" count="2921" uniqueCount="1366">
  <si>
    <t>blank plasmid</t>
  </si>
  <si>
    <t>all</t>
  </si>
  <si>
    <t>SAMPLE
NUMBER</t>
  </si>
  <si>
    <t>DOX</t>
  </si>
  <si>
    <t>X</t>
  </si>
  <si>
    <t>SAMPLE NAME</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</si>
  <si>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</si>
  <si>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</si>
  <si>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</si>
  <si>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</si>
  <si>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</si>
  <si>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</si>
  <si>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</si>
  <si>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</si>
  <si>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</si>
  <si>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</si>
  <si>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</si>
  <si>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</si>
  <si>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</si>
  <si>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</si>
  <si>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</si>
  <si>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</si>
  <si>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</si>
  <si>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</si>
  <si>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</si>
  <si>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</si>
  <si>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</si>
  <si>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</si>
  <si>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</si>
  <si>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</si>
  <si>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</si>
  <si>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</si>
  <si>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</si>
  <si>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</si>
  <si>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</si>
  <si>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</si>
  <si>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</si>
  <si>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</si>
  <si>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</si>
  <si>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</si>
  <si>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</si>
  <si>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</si>
  <si>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</si>
  <si>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</si>
  <si>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</si>
  <si>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</si>
  <si>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</si>
  <si>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</si>
  <si>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</si>
  <si>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</si>
  <si>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</si>
  <si>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</si>
  <si>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</si>
  <si>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</si>
  <si>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</si>
  <si>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</si>
  <si>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</si>
  <si>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</si>
  <si>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</si>
  <si>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</si>
  <si>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</si>
  <si>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</si>
  <si>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</si>
  <si>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</si>
  <si>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</si>
  <si>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</si>
  <si>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</si>
  <si>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</si>
  <si>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</si>
  <si>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</si>
  <si>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</si>
  <si>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</si>
  <si>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</si>
  <si>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</si>
  <si>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</si>
  <si>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</si>
  <si>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</si>
  <si>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</si>
  <si>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</si>
  <si>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</si>
  <si>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</si>
  <si>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</si>
  <si>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</si>
  <si>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</si>
  <si>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</si>
  <si>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</si>
  <si>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</si>
  <si>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</si>
  <si>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</si>
  <si>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</si>
  <si>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</si>
  <si>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</si>
  <si>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</si>
  <si>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</si>
  <si>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</si>
  <si>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</si>
  <si>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</si>
  <si>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</si>
  <si>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</si>
  <si>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</si>
  <si>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</si>
  <si>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</si>
  <si>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</si>
  <si>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</si>
  <si>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</si>
  <si>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</si>
  <si>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</si>
  <si>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</si>
  <si>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</si>
  <si>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</si>
  <si>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</si>
  <si>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</si>
  <si>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</si>
  <si>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</si>
  <si>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</si>
  <si>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</si>
  <si>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</si>
  <si>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</si>
  <si>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</si>
  <si>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</si>
  <si>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</si>
  <si>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</si>
  <si>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</si>
  <si>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</si>
  <si>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</si>
  <si>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</si>
  <si>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</si>
  <si>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</si>
  <si>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</si>
  <si>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</si>
  <si>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</si>
  <si>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</si>
  <si>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</si>
  <si>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</si>
  <si>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</si>
  <si>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</si>
  <si>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</si>
  <si>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</si>
  <si>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</si>
  <si>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</si>
  <si>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</si>
  <si>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</si>
  <si>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</si>
  <si>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</si>
  <si>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</si>
  <si>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</si>
  <si>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</si>
  <si>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</si>
  <si>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</si>
  <si>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</si>
  <si>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</si>
  <si>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</si>
  <si>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</si>
  <si>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</si>
  <si>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</si>
  <si>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</si>
  <si>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</si>
  <si>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</si>
  <si>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</si>
  <si>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</si>
  <si>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</si>
  <si>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Filename Template 1</t>
  </si>
  <si>
    <t>Filename Template 2</t>
  </si>
  <si>
    <t>Filename Template 3</t>
  </si>
  <si>
    <t>Filename Template 4</t>
  </si>
  <si>
    <t>Template #</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</si>
  <si>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</si>
  <si>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</si>
  <si>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</si>
  <si>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</si>
  <si>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</si>
  <si>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</si>
  <si>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</si>
  <si>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</si>
  <si>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</si>
  <si>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</si>
  <si>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</si>
  <si>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</si>
  <si>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</si>
  <si>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</si>
  <si>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</si>
  <si>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</si>
  <si>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</si>
  <si>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</si>
  <si>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</si>
  <si>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</si>
  <si>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</si>
  <si>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</si>
  <si>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</si>
  <si>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</si>
  <si>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</si>
  <si>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</si>
  <si>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</si>
  <si>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</si>
  <si>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</si>
  <si>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</si>
  <si>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</si>
  <si>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</si>
  <si>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</si>
  <si>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</si>
  <si>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</si>
  <si>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</si>
  <si>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</si>
  <si>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</si>
  <si>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</si>
  <si>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</si>
  <si>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</si>
  <si>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</si>
  <si>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</si>
  <si>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</si>
  <si>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</si>
  <si>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</si>
  <si>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</si>
  <si>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</si>
  <si>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</si>
  <si>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 xml:space="preserve">Experimental Conditions (one per column, can vary). </t>
  </si>
  <si>
    <t>Fine</t>
  </si>
  <si>
    <t>Group</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</si>
  <si>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</si>
  <si>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</si>
  <si>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</si>
  <si>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</si>
  <si>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</si>
  <si>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</si>
  <si>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</si>
  <si>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</si>
  <si>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</si>
  <si>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</si>
  <si>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</si>
  <si>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</si>
  <si>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</si>
  <si>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</si>
  <si>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</si>
  <si>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</si>
  <si>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</si>
  <si>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</si>
  <si>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</si>
  <si>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</si>
  <si>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</si>
  <si>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</si>
  <si>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</si>
  <si>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</si>
  <si>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</si>
  <si>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</si>
  <si>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</si>
  <si>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</si>
  <si>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</si>
  <si>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</si>
  <si>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</si>
  <si>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</si>
  <si>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</si>
  <si>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</si>
  <si>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</si>
  <si>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</si>
  <si>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</si>
  <si>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</si>
  <si>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</si>
  <si>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</si>
  <si>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</si>
  <si>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</si>
  <si>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</si>
  <si>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</si>
  <si>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</si>
  <si>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</si>
  <si>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</si>
  <si>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</si>
  <si>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</si>
  <si>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</si>
  <si>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</si>
  <si>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</si>
  <si>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</si>
  <si>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</si>
  <si>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</si>
  <si>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</si>
  <si>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</si>
  <si>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</si>
  <si>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</si>
  <si>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</si>
  <si>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</si>
  <si>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</si>
  <si>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</si>
  <si>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</si>
  <si>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</si>
  <si>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</si>
  <si>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</si>
  <si>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</si>
  <si>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</si>
  <si>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</si>
  <si>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Exclude from Batch Analysis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</si>
  <si>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</si>
  <si>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</si>
  <si>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</si>
  <si>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</si>
  <si>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</si>
  <si>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</si>
  <si>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</si>
  <si>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</si>
  <si>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</si>
  <si>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r>
      <rPr>
        <b/>
        <sz val="11"/>
        <rFont val="Calibri"/>
        <family val="2"/>
        <scheme val="minor"/>
      </rPr>
      <t>Optional</t>
    </r>
    <r>
      <rPr>
        <sz val="11"/>
        <rFont val="Calibri"/>
        <family val="2"/>
        <scheme val="minor"/>
      </rPr>
      <t>: Input Filename template #</t>
    </r>
  </si>
  <si>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</si>
  <si>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</si>
  <si>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</si>
  <si>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</si>
  <si>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</si>
  <si>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</si>
  <si>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</si>
  <si>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</si>
  <si>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</si>
  <si>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</si>
  <si>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</si>
  <si>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Plate Info</t>
  </si>
  <si>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</si>
  <si>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</si>
  <si>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</si>
  <si>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</si>
  <si>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</si>
  <si>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</si>
  <si>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</si>
  <si>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</si>
  <si>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</si>
  <si>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</si>
  <si>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</si>
  <si>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</si>
  <si>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</si>
  <si>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</si>
  <si>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</si>
  <si>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</si>
  <si>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</si>
  <si>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</si>
  <si>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</si>
  <si>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</si>
  <si>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</si>
  <si>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</si>
  <si>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</si>
  <si>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</si>
  <si>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</si>
  <si>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</si>
  <si>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</si>
  <si>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</si>
  <si>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</si>
  <si>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</si>
  <si>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</si>
  <si>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</si>
  <si>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</si>
  <si>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</si>
  <si>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</si>
  <si>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</si>
  <si>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</si>
  <si>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</si>
  <si>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</si>
  <si>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</si>
  <si>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</si>
  <si>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</si>
  <si>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</si>
  <si>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</si>
  <si>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</si>
  <si>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</si>
  <si>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</si>
  <si>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</si>
  <si>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</si>
  <si>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</si>
  <si>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</si>
  <si>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</si>
  <si>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</si>
  <si>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</si>
  <si>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</si>
  <si>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</si>
  <si>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</si>
  <si>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</si>
  <si>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</si>
  <si>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</si>
  <si>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</si>
  <si>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13-08-2018 20:27:17</t>
  </si>
  <si>
    <t>13-08-2018 20:36:14</t>
  </si>
  <si>
    <r>
      <rPr>
        <b/>
        <sz val="11"/>
        <rFont val="Calibri"/>
        <family val="2"/>
        <scheme val="minor"/>
      </rPr>
      <t>Optional</t>
    </r>
    <r>
      <rPr>
        <sz val="11"/>
        <rFont val="Calibri"/>
        <family val="2"/>
        <scheme val="minor"/>
      </rPr>
      <t>: Options can be found in BeadCatalog</t>
    </r>
  </si>
  <si>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</si>
  <si>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</si>
  <si>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</si>
  <si>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</si>
  <si>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</si>
  <si>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</si>
  <si>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</si>
  <si>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</si>
  <si>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</si>
  <si>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</si>
  <si>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</si>
  <si>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</si>
  <si>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</si>
  <si>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</si>
  <si>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</si>
  <si>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</si>
  <si>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</si>
  <si>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</si>
  <si>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</si>
  <si>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</si>
  <si>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</si>
  <si>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</si>
  <si>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</si>
  <si>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</si>
  <si>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</si>
  <si>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</si>
  <si>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</si>
  <si>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</si>
  <si>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</si>
  <si>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</si>
  <si>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</si>
  <si>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</si>
  <si>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Lot AD04, AE01, AF01, AF02, AH01, AH02, AJ01</t>
  </si>
  <si>
    <t>Blank</t>
  </si>
  <si>
    <t>GFP</t>
  </si>
  <si>
    <t>GFP-A</t>
  </si>
  <si>
    <t>530/530</t>
  </si>
  <si>
    <t>g</t>
  </si>
  <si>
    <t>BFP</t>
  </si>
  <si>
    <t>BFP-A</t>
  </si>
  <si>
    <t>440/50</t>
  </si>
  <si>
    <t>mRuby</t>
  </si>
  <si>
    <t>mRuby2-A</t>
  </si>
  <si>
    <t>585/16</t>
  </si>
  <si>
    <t>All</t>
  </si>
  <si>
    <t>FlpO</t>
  </si>
  <si>
    <t>shRNA</t>
  </si>
  <si>
    <t>Dox</t>
  </si>
  <si>
    <t>JHT14</t>
  </si>
  <si>
    <t>A1,A2,A3</t>
  </si>
  <si>
    <t>B1,B2,B3</t>
  </si>
  <si>
    <t>C1,C2,C3</t>
  </si>
  <si>
    <t>D1,D2,D3</t>
  </si>
  <si>
    <t>E1,E2,E3</t>
  </si>
  <si>
    <t>F1,F2,F3</t>
  </si>
  <si>
    <t>G1,G2,G3</t>
  </si>
  <si>
    <t>H1,H2,H3</t>
  </si>
  <si>
    <t>Group(1)</t>
  </si>
  <si>
    <t>A4,A5,A6</t>
  </si>
  <si>
    <t>B4,B5,B6</t>
  </si>
  <si>
    <t>C4,C5,C6</t>
  </si>
  <si>
    <t>D4,D5,D6</t>
  </si>
  <si>
    <t>E4,E5,E6</t>
  </si>
  <si>
    <t>F4,F5,F6</t>
  </si>
  <si>
    <t>G4,G5,G6</t>
  </si>
  <si>
    <t>H4,H5,H6</t>
  </si>
  <si>
    <t>Group(2)</t>
  </si>
  <si>
    <t>A7,A8,A9</t>
  </si>
  <si>
    <t>B7,B8,B9</t>
  </si>
  <si>
    <t>C7,C8,C9</t>
  </si>
  <si>
    <t>D7,D8,D9</t>
  </si>
  <si>
    <t>E7,E8,E9</t>
  </si>
  <si>
    <t>F7,F8,F9</t>
  </si>
  <si>
    <t>G7,G8,G9</t>
  </si>
  <si>
    <t>H7,H8,H9</t>
  </si>
  <si>
    <t>Group(3)</t>
  </si>
  <si>
    <t>A10,A11,A12</t>
  </si>
  <si>
    <t>B10,B11,B12</t>
  </si>
  <si>
    <t>C10,C11,C12</t>
  </si>
  <si>
    <t>D10,D11,D12</t>
  </si>
  <si>
    <t>E10,E11,E12</t>
  </si>
  <si>
    <t>F10,F11,F12</t>
  </si>
  <si>
    <t>G10,G11,G12</t>
  </si>
  <si>
    <t>H10,H11,H12</t>
  </si>
  <si>
    <t>JHT14(1)</t>
  </si>
  <si>
    <t>JHT14(2)</t>
  </si>
  <si>
    <t>JHT14(3)</t>
  </si>
  <si>
    <t>JHT14(4)</t>
  </si>
  <si>
    <t>JHT14(5)</t>
  </si>
  <si>
    <t>Sample</t>
  </si>
  <si>
    <t>JHT14(6)</t>
  </si>
  <si>
    <t>JHT14(7)</t>
  </si>
  <si>
    <t>JHT14(N)</t>
  </si>
  <si>
    <t>Group(N)</t>
  </si>
  <si>
    <t>Sample Location(s)</t>
  </si>
  <si>
    <t>Note: This sheet contains all of the experiment overview information</t>
  </si>
  <si>
    <t>Performing Plus-Minus characterization on TRE-Flp-FF4T construct with different shRNA interference strategies, using different DNA amount of Flp and shRNA plasmids.</t>
  </si>
  <si>
    <t>Justin Letendre, Katherine Kiwimagi</t>
  </si>
  <si>
    <t>Justin Letendre</t>
  </si>
  <si>
    <t>Cell Plating</t>
  </si>
  <si>
    <t></t>
  </si>
  <si>
    <t>Transfection</t>
  </si>
  <si>
    <t>Induction</t>
  </si>
  <si>
    <t>Cytometry 1</t>
  </si>
  <si>
    <t>Cytometry 2</t>
  </si>
  <si>
    <t>Cytometry 3</t>
  </si>
  <si>
    <t>Cytometry 4</t>
  </si>
  <si>
    <t>Date:</t>
  </si>
  <si>
    <t>Time:</t>
  </si>
  <si>
    <t>Density:</t>
  </si>
  <si>
    <t>100k/ml</t>
  </si>
  <si>
    <t>Plate Type:</t>
  </si>
  <si>
    <t>48w</t>
  </si>
  <si>
    <t>96w</t>
  </si>
  <si>
    <t>Machine:</t>
  </si>
  <si>
    <t>Attune Nxt</t>
  </si>
  <si>
    <t>1_2_3_4.fcs</t>
  </si>
  <si>
    <t>Data Stem 1</t>
  </si>
  <si>
    <t>100 ng/mL</t>
  </si>
  <si>
    <t>Plate1</t>
  </si>
  <si>
    <t>Plate No.</t>
  </si>
  <si>
    <t>0 ng/mL</t>
  </si>
  <si>
    <t>Group No.</t>
  </si>
  <si>
    <t>Location, From Samples</t>
  </si>
  <si>
    <t>Data Stem 2</t>
  </si>
  <si>
    <t>ng</t>
  </si>
  <si>
    <t>Data Stem 3</t>
  </si>
  <si>
    <t>Condition Key 4</t>
  </si>
  <si>
    <t>Data Stem 4</t>
  </si>
  <si>
    <t>Hrs</t>
  </si>
  <si>
    <t>JHT14_Plate1_Group_A1.fcs</t>
  </si>
  <si>
    <t>JHT14_Plate1_Group_A2.fcs</t>
  </si>
  <si>
    <t>JHT14_Plate1_Group_A3.fcs</t>
  </si>
  <si>
    <t>JHT14_Plate1_Group_B1.fcs</t>
  </si>
  <si>
    <t>JHT14_Plate1_Group_B2.fcs</t>
  </si>
  <si>
    <t>JHT14_Plate1_Group_B3.fcs</t>
  </si>
  <si>
    <t>JHT14_Plate1_Group_C1.fcs</t>
  </si>
  <si>
    <t>JHT14_Plate1_Group_C2.fcs</t>
  </si>
  <si>
    <t>JHT14_Plate1_Group_C3.fcs</t>
  </si>
  <si>
    <t>JHT14_Plate1_Group_D1.fcs</t>
  </si>
  <si>
    <t>JHT14_Plate1_Group_D2.fcs</t>
  </si>
  <si>
    <t>JHT14_Plate1_Group_D3.fcs</t>
  </si>
  <si>
    <t>JHT14_Plate1_Group_E1.fcs</t>
  </si>
  <si>
    <t>JHT14_Plate1_Group_E2.fcs</t>
  </si>
  <si>
    <t>JHT14_Plate1_Group_E3.fcs</t>
  </si>
  <si>
    <t>JHT14_Plate1_Group_F1.fcs</t>
  </si>
  <si>
    <t>JHT14_Plate1_Group_F2.fcs</t>
  </si>
  <si>
    <t>JHT14_Plate1_Group_F3.fcs</t>
  </si>
  <si>
    <t>JHT14_Plate1_Group_G1.fcs</t>
  </si>
  <si>
    <t>JHT14_Plate1_Group_G2.fcs</t>
  </si>
  <si>
    <t>JHT14_Plate1_Group_G3.fcs</t>
  </si>
  <si>
    <t>JHT14_Plate1_Group_H1.fcs</t>
  </si>
  <si>
    <t>JHT14_Plate1_Group_H2.fcs</t>
  </si>
  <si>
    <t>JHT14_Plate1_Group_H3.fcs</t>
  </si>
  <si>
    <t>JHT14_Plate1_Group(1)_A4.fcs</t>
  </si>
  <si>
    <t>JHT14_Plate1_Group(1)_A5.fcs</t>
  </si>
  <si>
    <t>JHT14_Plate1_Group(1)_A6.fcs</t>
  </si>
  <si>
    <t>JHT14_Plate1_Group(1)_B4.fcs</t>
  </si>
  <si>
    <t>JHT14_Plate1_Group(1)_B5.fcs</t>
  </si>
  <si>
    <t>JHT14_Plate1_Group(1)_B6.fcs</t>
  </si>
  <si>
    <t>JHT14_Plate1_Group(1)_C4.fcs</t>
  </si>
  <si>
    <t>JHT14_Plate1_Group(1)_C5.fcs</t>
  </si>
  <si>
    <t>JHT14_Plate1_Group(1)_C6.fcs</t>
  </si>
  <si>
    <t>JHT14_Plate1_Group(1)_D4.fcs</t>
  </si>
  <si>
    <t>JHT14_Plate1_Group(1)_D5.fcs</t>
  </si>
  <si>
    <t>JHT14_Plate1_Group(1)_D6.fcs</t>
  </si>
  <si>
    <t>JHT14_Plate1_Group(1)_E4.fcs</t>
  </si>
  <si>
    <t>JHT14_Plate1_Group(1)_E5.fcs</t>
  </si>
  <si>
    <t>JHT14_Plate1_Group(1)_E6.fcs</t>
  </si>
  <si>
    <t>JHT14_Plate1_Group(1)_F4.fcs</t>
  </si>
  <si>
    <t>JHT14_Plate1_Group(1)_F5.fcs</t>
  </si>
  <si>
    <t>JHT14_Plate1_Group(1)_F6.fcs</t>
  </si>
  <si>
    <t>JHT14_Plate1_Group(1)_G4.fcs</t>
  </si>
  <si>
    <t>JHT14_Plate1_Group(1)_G5.fcs</t>
  </si>
  <si>
    <t>JHT14_Plate1_Group(1)_G6.fcs</t>
  </si>
  <si>
    <t>JHT14_Plate1_Group(1)_H4.fcs</t>
  </si>
  <si>
    <t>JHT14_Plate1_Group(1)_H5.fcs</t>
  </si>
  <si>
    <t>JHT14_Plate1_Group(1)_H6.fcs</t>
  </si>
  <si>
    <t>JHT14_Plate1_Group(2)_A7.fcs</t>
  </si>
  <si>
    <t>JHT14_Plate1_Group(2)_A8.fcs</t>
  </si>
  <si>
    <t>JHT14_Plate1_Group(2)_A9.fcs</t>
  </si>
  <si>
    <t>JHT14_Plate1_Group(2)_B7.fcs</t>
  </si>
  <si>
    <t>JHT14_Plate1_Group(2)_B8.fcs</t>
  </si>
  <si>
    <t>JHT14_Plate1_Group(2)_B9.fcs</t>
  </si>
  <si>
    <t>JHT14_Plate1_Group(2)_C7.fcs</t>
  </si>
  <si>
    <t>JHT14_Plate1_Group(2)_C8.fcs</t>
  </si>
  <si>
    <t>JHT14_Plate1_Group(2)_C9.fcs</t>
  </si>
  <si>
    <t>JHT14_Plate1_Group(2)_D7.fcs</t>
  </si>
  <si>
    <t>JHT14_Plate1_Group(2)_D8.fcs</t>
  </si>
  <si>
    <t>JHT14_Plate1_Group(2)_D9.fcs</t>
  </si>
  <si>
    <t>JHT14_Plate1_Group(2)_E7.fcs</t>
  </si>
  <si>
    <t>JHT14_Plate1_Group(2)_E8.fcs</t>
  </si>
  <si>
    <t>JHT14_Plate1_Group(2)_E9.fcs</t>
  </si>
  <si>
    <t>JHT14_Plate1_Group(2)_F7.fcs</t>
  </si>
  <si>
    <t>JHT14_Plate1_Group(2)_F8.fcs</t>
  </si>
  <si>
    <t>JHT14_Plate1_Group(2)_F9.fcs</t>
  </si>
  <si>
    <t>JHT14_Plate1_Group(2)_G7.fcs</t>
  </si>
  <si>
    <t>JHT14_Plate1_Group(2)_G8.fcs</t>
  </si>
  <si>
    <t>JHT14_Plate1_Group(2)_G9.fcs</t>
  </si>
  <si>
    <t>JHT14_Plate1_Group(2)_H7.fcs</t>
  </si>
  <si>
    <t>JHT14_Plate1_Group(2)_H8.fcs</t>
  </si>
  <si>
    <t>JHT14_Plate1_Group(2)_H9.fcs</t>
  </si>
  <si>
    <t>JHT14_Plate1_Group(3)_A10.fcs</t>
  </si>
  <si>
    <t>JHT14_Plate1_Group(3)_A11.fcs</t>
  </si>
  <si>
    <t>JHT14_Plate1_Group(3)_A12.fcs</t>
  </si>
  <si>
    <t>JHT14_Plate1_Group(3)_B10.fcs</t>
  </si>
  <si>
    <t>JHT14_Plate1_Group(3)_B11.fcs</t>
  </si>
  <si>
    <t>JHT14_Plate1_Group(3)_B12.fcs</t>
  </si>
  <si>
    <t>JHT14_Plate1_Group(3)_C10.fcs</t>
  </si>
  <si>
    <t>JHT14_Plate1_Group(3)_C11.fcs</t>
  </si>
  <si>
    <t>JHT14_Plate1_Group(3)_C12.fcs</t>
  </si>
  <si>
    <t>JHT14_Plate1_Group(3)_D10.fcs</t>
  </si>
  <si>
    <t>JHT14_Plate1_Group(3)_D11.fcs</t>
  </si>
  <si>
    <t>JHT14_Plate1_Group(3)_D12.fcs</t>
  </si>
  <si>
    <t>JHT14_Plate1_Group(3)_E10.fcs</t>
  </si>
  <si>
    <t>JHT14_Plate1_Group(3)_E11.fcs</t>
  </si>
  <si>
    <t>JHT14_Plate1_Group(3)_E12.fcs</t>
  </si>
  <si>
    <t>JHT14_Plate1_Group(3)_F10.fcs</t>
  </si>
  <si>
    <t>JHT14_Plate1_Group(3)_F11.fcs</t>
  </si>
  <si>
    <t>JHT14_Plate1_Group(3)_F12.fcs</t>
  </si>
  <si>
    <t>JHT14_Plate1_Group(3)_G10.fcs</t>
  </si>
  <si>
    <t>JHT14_Plate1_Group(3)_G11.fcs</t>
  </si>
  <si>
    <t>JHT14_Plate1_Group(3)_G12.fcs</t>
  </si>
  <si>
    <t>JHT14_Plate1_Group(3)_H10.fcs</t>
  </si>
  <si>
    <t>JHT14_Plate1_Group(3)_H11.fcs</t>
  </si>
  <si>
    <t>JHT14_Plate1_Group(3)_H12.fcs</t>
  </si>
  <si>
    <t>JHT14(1)_Plate1_Group_A1.fcs</t>
  </si>
  <si>
    <t>JHT14(1)_Plate1_Group_A2.fcs</t>
  </si>
  <si>
    <t>JHT14(1)_Plate1_Group_A3.fcs</t>
  </si>
  <si>
    <t>JHT14(1)_Plate1_Group_B1.fcs</t>
  </si>
  <si>
    <t>JHT14(1)_Plate1_Group_B2.fcs</t>
  </si>
  <si>
    <t>JHT14(1)_Plate1_Group_B3.fcs</t>
  </si>
  <si>
    <t>JHT14(1)_Plate1_Group_C1.fcs</t>
  </si>
  <si>
    <t>JHT14(1)_Plate1_Group_C2.fcs</t>
  </si>
  <si>
    <t>JHT14(1)_Plate1_Group_C3.fcs</t>
  </si>
  <si>
    <t>JHT14(1)_Plate1_Group_D1.fcs</t>
  </si>
  <si>
    <t>JHT14(1)_Plate1_Group_D2.fcs</t>
  </si>
  <si>
    <t>JHT14(1)_Plate1_Group_D3.fcs</t>
  </si>
  <si>
    <t>JHT14(1)_Plate1_Group_E1.fcs</t>
  </si>
  <si>
    <t>JHT14(1)_Plate1_Group_E2.fcs</t>
  </si>
  <si>
    <t>JHT14(1)_Plate1_Group_E3.fcs</t>
  </si>
  <si>
    <t>JHT14(1)_Plate1_Group_F1.fcs</t>
  </si>
  <si>
    <t>JHT14(1)_Plate1_Group_F2.fcs</t>
  </si>
  <si>
    <t>JHT14(1)_Plate1_Group_F3.fcs</t>
  </si>
  <si>
    <t>JHT14(1)_Plate1_Group_G1.fcs</t>
  </si>
  <si>
    <t>JHT14(1)_Plate1_Group_G2.fcs</t>
  </si>
  <si>
    <t>JHT14(1)_Plate1_Group_G3.fcs</t>
  </si>
  <si>
    <t>JHT14(1)_Plate1_Group_H1.fcs</t>
  </si>
  <si>
    <t>JHT14(1)_Plate1_Group_H2.fcs</t>
  </si>
  <si>
    <t>JHT14(1)_Plate1_Group_H3.fcs</t>
  </si>
  <si>
    <t>JHT14(2)_Plate1_Group_A1.fcs</t>
  </si>
  <si>
    <t>JHT14(2)_Plate1_Group_A2.fcs</t>
  </si>
  <si>
    <t>JHT14(2)_Plate1_Group_A3.fcs</t>
  </si>
  <si>
    <t>JHT14(2)_Plate1_Group_B1.fcs</t>
  </si>
  <si>
    <t>JHT14(2)_Plate1_Group_B2.fcs</t>
  </si>
  <si>
    <t>JHT14(2)_Plate1_Group_B3.fcs</t>
  </si>
  <si>
    <t>JHT14(2)_Plate1_Group_C1.fcs</t>
  </si>
  <si>
    <t>JHT14(2)_Plate1_Group_C2.fcs</t>
  </si>
  <si>
    <t>JHT14(2)_Plate1_Group_C3.fcs</t>
  </si>
  <si>
    <t>JHT14(2)_Plate1_Group_D1.fcs</t>
  </si>
  <si>
    <t>JHT14(2)_Plate1_Group_D2.fcs</t>
  </si>
  <si>
    <t>JHT14(2)_Plate1_Group_D3.fcs</t>
  </si>
  <si>
    <t>JHT14(2)_Plate1_Group_E1.fcs</t>
  </si>
  <si>
    <t>JHT14(2)_Plate1_Group_E2.fcs</t>
  </si>
  <si>
    <t>JHT14(2)_Plate1_Group_E3.fcs</t>
  </si>
  <si>
    <t>JHT14(2)_Plate1_Group_F1.fcs</t>
  </si>
  <si>
    <t>JHT14(2)_Plate1_Group_F2.fcs</t>
  </si>
  <si>
    <t>JHT14(2)_Plate1_Group_F3.fcs</t>
  </si>
  <si>
    <t>JHT14(2)_Plate1_Group_G1.fcs</t>
  </si>
  <si>
    <t>JHT14(2)_Plate1_Group_G2.fcs</t>
  </si>
  <si>
    <t>JHT14(2)_Plate1_Group_G3.fcs</t>
  </si>
  <si>
    <t>JHT14(2)_Plate1_Group_H1.fcs</t>
  </si>
  <si>
    <t>JHT14(2)_Plate1_Group_H2.fcs</t>
  </si>
  <si>
    <t>JHT14(2)_Plate1_Group_H3.fcs</t>
  </si>
  <si>
    <t>JHT14(2)_Plate1_Group(1)_A4.fcs</t>
  </si>
  <si>
    <t>JHT14(2)_Plate1_Group(1)_A5.fcs</t>
  </si>
  <si>
    <t>JHT14(2)_Plate1_Group(1)_A6.fcs</t>
  </si>
  <si>
    <t>JHT14(2)_Plate1_Group(1)_B4.fcs</t>
  </si>
  <si>
    <t>JHT14(2)_Plate1_Group(1)_B5.fcs</t>
  </si>
  <si>
    <t>JHT14(2)_Plate1_Group(1)_B6.fcs</t>
  </si>
  <si>
    <t>JHT14(2)_Plate1_Group(1)_C4.fcs</t>
  </si>
  <si>
    <t>JHT14(2)_Plate1_Group(1)_C5.fcs</t>
  </si>
  <si>
    <t>JHT14(2)_Plate1_Group(1)_C6.fcs</t>
  </si>
  <si>
    <t>JHT14(2)_Plate1_Group(1)_D4.fcs</t>
  </si>
  <si>
    <t>JHT14(2)_Plate1_Group(1)_D5.fcs</t>
  </si>
  <si>
    <t>JHT14(2)_Plate1_Group(1)_D6.fcs</t>
  </si>
  <si>
    <t>JHT14(2)_Plate1_Group(1)_E4.fcs</t>
  </si>
  <si>
    <t>JHT14(2)_Plate1_Group(1)_E5.fcs</t>
  </si>
  <si>
    <t>JHT14(2)_Plate1_Group(1)_E6.fcs</t>
  </si>
  <si>
    <t>JHT14(2)_Plate1_Group(1)_F4.fcs</t>
  </si>
  <si>
    <t>JHT14(2)_Plate1_Group(1)_F5.fcs</t>
  </si>
  <si>
    <t>JHT14(2)_Plate1_Group(1)_F6.fcs</t>
  </si>
  <si>
    <t>JHT14(2)_Plate1_Group(1)_G4.fcs</t>
  </si>
  <si>
    <t>JHT14(2)_Plate1_Group(1)_G5.fcs</t>
  </si>
  <si>
    <t>JHT14(2)_Plate1_Group(1)_G6.fcs</t>
  </si>
  <si>
    <t>JHT14(2)_Plate1_Group(1)_H4.fcs</t>
  </si>
  <si>
    <t>JHT14(2)_Plate1_Group(1)_H5.fcs</t>
  </si>
  <si>
    <t>JHT14(2)_Plate1_Group(1)_H6.fcs</t>
  </si>
  <si>
    <t>JHT14(2)_Plate1_Group(2)_A7.fcs</t>
  </si>
  <si>
    <t>JHT14(2)_Plate1_Group(2)_A8.fcs</t>
  </si>
  <si>
    <t>JHT14(2)_Plate1_Group(2)_A9.fcs</t>
  </si>
  <si>
    <t>JHT14(2)_Plate1_Group(2)_B7.fcs</t>
  </si>
  <si>
    <t>JHT14(2)_Plate1_Group(2)_B8.fcs</t>
  </si>
  <si>
    <t>JHT14(2)_Plate1_Group(2)_B9.fcs</t>
  </si>
  <si>
    <t>JHT14(2)_Plate1_Group(2)_C7.fcs</t>
  </si>
  <si>
    <t>JHT14(2)_Plate1_Group(2)_C8.fcs</t>
  </si>
  <si>
    <t>JHT14(2)_Plate1_Group(2)_C9.fcs</t>
  </si>
  <si>
    <t>JHT14(2)_Plate1_Group(2)_D7.fcs</t>
  </si>
  <si>
    <t>JHT14(2)_Plate1_Group(2)_D8.fcs</t>
  </si>
  <si>
    <t>JHT14(2)_Plate1_Group(2)_D9.fcs</t>
  </si>
  <si>
    <t>JHT14(2)_Plate1_Group(2)_E7.fcs</t>
  </si>
  <si>
    <t>JHT14(2)_Plate1_Group(2)_E8.fcs</t>
  </si>
  <si>
    <t>JHT14(2)_Plate1_Group(2)_E9.fcs</t>
  </si>
  <si>
    <t>JHT14(2)_Plate1_Group(2)_F7.fcs</t>
  </si>
  <si>
    <t>JHT14(2)_Plate1_Group(2)_F8.fcs</t>
  </si>
  <si>
    <t>JHT14(2)_Plate1_Group(2)_F9.fcs</t>
  </si>
  <si>
    <t>JHT14(2)_Plate1_Group(2)_G7.fcs</t>
  </si>
  <si>
    <t>JHT14(2)_Plate1_Group(2)_G8.fcs</t>
  </si>
  <si>
    <t>JHT14(2)_Plate1_Group(2)_G9.fcs</t>
  </si>
  <si>
    <t>JHT14(2)_Plate1_Group(2)_H7.fcs</t>
  </si>
  <si>
    <t>JHT14(2)_Plate1_Group(2)_H8.fcs</t>
  </si>
  <si>
    <t>JHT14(2)_Plate1_Group(2)_H9.fcs</t>
  </si>
  <si>
    <t>JHT14(2)_Plate1_Group(3)_A10.fcs</t>
  </si>
  <si>
    <t>JHT14(2)_Plate1_Group(3)_A11.fcs</t>
  </si>
  <si>
    <t>JHT14(2)_Plate1_Group(3)_A12.fcs</t>
  </si>
  <si>
    <t>JHT14(2)_Plate1_Group(3)_B10.fcs</t>
  </si>
  <si>
    <t>JHT14(2)_Plate1_Group(3)_B11.fcs</t>
  </si>
  <si>
    <t>JHT14(2)_Plate1_Group(3)_B12.fcs</t>
  </si>
  <si>
    <t>JHT14(2)_Plate1_Group(3)_C10.fcs</t>
  </si>
  <si>
    <t>JHT14(2)_Plate1_Group(3)_C11.fcs</t>
  </si>
  <si>
    <t>JHT14(2)_Plate1_Group(3)_C12.fcs</t>
  </si>
  <si>
    <t>JHT14(2)_Plate1_Group(3)_D10.fcs</t>
  </si>
  <si>
    <t>JHT14(2)_Plate1_Group(3)_D11.fcs</t>
  </si>
  <si>
    <t>JHT14(2)_Plate1_Group(3)_D12.fcs</t>
  </si>
  <si>
    <t>JHT14(2)_Plate1_Group(3)_E10.fcs</t>
  </si>
  <si>
    <t>JHT14(2)_Plate1_Group(3)_E11.fcs</t>
  </si>
  <si>
    <t>JHT14(2)_Plate1_Group(3)_E12.fcs</t>
  </si>
  <si>
    <t>JHT14(2)_Plate1_Group(3)_F10.fcs</t>
  </si>
  <si>
    <t>JHT14(2)_Plate1_Group(3)_F11.fcs</t>
  </si>
  <si>
    <t>JHT14(2)_Plate1_Group(3)_F12.fcs</t>
  </si>
  <si>
    <t>JHT14(2)_Plate1_Group(3)_G10.fcs</t>
  </si>
  <si>
    <t>JHT14(2)_Plate1_Group(3)_G11.fcs</t>
  </si>
  <si>
    <t>JHT14(2)_Plate1_Group(3)_G12.fcs</t>
  </si>
  <si>
    <t>JHT14(2)_Plate1_Group(3)_H10.fcs</t>
  </si>
  <si>
    <t>JHT14(2)_Plate1_Group(3)_H11.fcs</t>
  </si>
  <si>
    <t>JHT14(2)_Plate1_Group(3)_H12.fcs</t>
  </si>
  <si>
    <t>JHT14(3)_Plate1_Group_A1.fcs</t>
  </si>
  <si>
    <t>JHT14(3)_Plate1_Group_A2.fcs</t>
  </si>
  <si>
    <t>JHT14(3)_Plate1_Group_A3.fcs</t>
  </si>
  <si>
    <t>JHT14(3)_Plate1_Group_B1.fcs</t>
  </si>
  <si>
    <t>JHT14(3)_Plate1_Group_B2.fcs</t>
  </si>
  <si>
    <t>JHT14(3)_Plate1_Group_B3.fcs</t>
  </si>
  <si>
    <t>JHT14(3)_Plate1_Group_C1.fcs</t>
  </si>
  <si>
    <t>JHT14(3)_Plate1_Group_C2.fcs</t>
  </si>
  <si>
    <t>JHT14(3)_Plate1_Group_C3.fcs</t>
  </si>
  <si>
    <t>JHT14(3)_Plate1_Group_D1.fcs</t>
  </si>
  <si>
    <t>JHT14(3)_Plate1_Group_D2.fcs</t>
  </si>
  <si>
    <t>JHT14(3)_Plate1_Group_D3.fcs</t>
  </si>
  <si>
    <t>JHT14(3)_Plate1_Group_E1.fcs</t>
  </si>
  <si>
    <t>JHT14(3)_Plate1_Group_E2.fcs</t>
  </si>
  <si>
    <t>JHT14(3)_Plate1_Group_E3.fcs</t>
  </si>
  <si>
    <t>JHT14(3)_Plate1_Group_F1.fcs</t>
  </si>
  <si>
    <t>JHT14(3)_Plate1_Group_F2.fcs</t>
  </si>
  <si>
    <t>JHT14(3)_Plate1_Group_F3.fcs</t>
  </si>
  <si>
    <t>JHT14(3)_Plate1_Group_G1.fcs</t>
  </si>
  <si>
    <t>JHT14(3)_Plate1_Group_G2.fcs</t>
  </si>
  <si>
    <t>JHT14(3)_Plate1_Group_G3.fcs</t>
  </si>
  <si>
    <t>JHT14(3)_Plate1_Group_H1.fcs</t>
  </si>
  <si>
    <t>JHT14(3)_Plate1_Group_H2.fcs</t>
  </si>
  <si>
    <t>JHT14(3)_Plate1_Group_H3.fcs</t>
  </si>
  <si>
    <t>JHT14(4)_Plate1_Group_A1.fcs</t>
  </si>
  <si>
    <t>JHT14(4)_Plate1_Group_A2.fcs</t>
  </si>
  <si>
    <t>JHT14(4)_Plate1_Group_A3.fcs</t>
  </si>
  <si>
    <t>JHT14(4)_Plate1_Group_B1.fcs</t>
  </si>
  <si>
    <t>JHT14(4)_Plate1_Group_B2.fcs</t>
  </si>
  <si>
    <t>JHT14(4)_Plate1_Group_B3.fcs</t>
  </si>
  <si>
    <t>JHT14(4)_Plate1_Group_C1.fcs</t>
  </si>
  <si>
    <t>JHT14(4)_Plate1_Group_C2.fcs</t>
  </si>
  <si>
    <t>JHT14(4)_Plate1_Group_C3.fcs</t>
  </si>
  <si>
    <t>JHT14(4)_Plate1_Group_D1.fcs</t>
  </si>
  <si>
    <t>JHT14(4)_Plate1_Group_D2.fcs</t>
  </si>
  <si>
    <t>JHT14(4)_Plate1_Group_D3.fcs</t>
  </si>
  <si>
    <t>JHT14(4)_Plate1_Group_E1.fcs</t>
  </si>
  <si>
    <t>JHT14(4)_Plate1_Group_E2.fcs</t>
  </si>
  <si>
    <t>JHT14(4)_Plate1_Group_E3.fcs</t>
  </si>
  <si>
    <t>JHT14(4)_Plate1_Group_F1.fcs</t>
  </si>
  <si>
    <t>JHT14(4)_Plate1_Group_F2.fcs</t>
  </si>
  <si>
    <t>JHT14(4)_Plate1_Group_F3.fcs</t>
  </si>
  <si>
    <t>JHT14(4)_Plate1_Group_G1.fcs</t>
  </si>
  <si>
    <t>JHT14(4)_Plate1_Group_G2.fcs</t>
  </si>
  <si>
    <t>JHT14(4)_Plate1_Group_G3.fcs</t>
  </si>
  <si>
    <t>JHT14(4)_Plate1_Group_H1.fcs</t>
  </si>
  <si>
    <t>JHT14(4)_Plate1_Group_H2.fcs</t>
  </si>
  <si>
    <t>JHT14(4)_Plate1_Group_H3.fcs</t>
  </si>
  <si>
    <t>JHT14(4)_Plate1_Group(1)_A4.fcs</t>
  </si>
  <si>
    <t>JHT14(4)_Plate1_Group(1)_A5.fcs</t>
  </si>
  <si>
    <t>JHT14(4)_Plate1_Group(1)_A6.fcs</t>
  </si>
  <si>
    <t>JHT14(4)_Plate1_Group(1)_B4.fcs</t>
  </si>
  <si>
    <t>JHT14(4)_Plate1_Group(1)_B5.fcs</t>
  </si>
  <si>
    <t>JHT14(4)_Plate1_Group(1)_B6.fcs</t>
  </si>
  <si>
    <t>JHT14(4)_Plate1_Group(1)_C4.fcs</t>
  </si>
  <si>
    <t>JHT14(4)_Plate1_Group(1)_C5.fcs</t>
  </si>
  <si>
    <t>JHT14(4)_Plate1_Group(1)_C6.fcs</t>
  </si>
  <si>
    <t>JHT14(4)_Plate1_Group(1)_D4.fcs</t>
  </si>
  <si>
    <t>JHT14(4)_Plate1_Group(1)_D5.fcs</t>
  </si>
  <si>
    <t>JHT14(4)_Plate1_Group(1)_D6.fcs</t>
  </si>
  <si>
    <t>JHT14(4)_Plate1_Group(1)_E4.fcs</t>
  </si>
  <si>
    <t>JHT14(4)_Plate1_Group(1)_E5.fcs</t>
  </si>
  <si>
    <t>JHT14(4)_Plate1_Group(1)_E6.fcs</t>
  </si>
  <si>
    <t>JHT14(4)_Plate1_Group(1)_F4.fcs</t>
  </si>
  <si>
    <t>JHT14(4)_Plate1_Group(1)_F5.fcs</t>
  </si>
  <si>
    <t>JHT14(4)_Plate1_Group(1)_F6.fcs</t>
  </si>
  <si>
    <t>JHT14(4)_Plate1_Group(1)_G4.fcs</t>
  </si>
  <si>
    <t>JHT14(4)_Plate1_Group(1)_G5.fcs</t>
  </si>
  <si>
    <t>JHT14(4)_Plate1_Group(1)_G6.fcs</t>
  </si>
  <si>
    <t>JHT14(4)_Plate1_Group(1)_H4.fcs</t>
  </si>
  <si>
    <t>JHT14(4)_Plate1_Group(1)_H5.fcs</t>
  </si>
  <si>
    <t>JHT14(4)_Plate1_Group(1)_H6.fcs</t>
  </si>
  <si>
    <t>JHT14(4)_Plate1_Group(2)_A7.fcs</t>
  </si>
  <si>
    <t>JHT14(4)_Plate1_Group(2)_A8.fcs</t>
  </si>
  <si>
    <t>JHT14(4)_Plate1_Group(2)_A9.fcs</t>
  </si>
  <si>
    <t>JHT14(4)_Plate1_Group(2)_B7.fcs</t>
  </si>
  <si>
    <t>JHT14(4)_Plate1_Group(2)_B8.fcs</t>
  </si>
  <si>
    <t>JHT14(4)_Plate1_Group(2)_B9.fcs</t>
  </si>
  <si>
    <t>JHT14(4)_Plate1_Group(2)_C7.fcs</t>
  </si>
  <si>
    <t>JHT14(4)_Plate1_Group(2)_C8.fcs</t>
  </si>
  <si>
    <t>JHT14(4)_Plate1_Group(2)_C9.fcs</t>
  </si>
  <si>
    <t>JHT14(4)_Plate1_Group(2)_D7.fcs</t>
  </si>
  <si>
    <t>JHT14(4)_Plate1_Group(2)_D8.fcs</t>
  </si>
  <si>
    <t>JHT14(4)_Plate1_Group(2)_D9.fcs</t>
  </si>
  <si>
    <t>JHT14(4)_Plate1_Group(2)_E7.fcs</t>
  </si>
  <si>
    <t>JHT14(4)_Plate1_Group(2)_E8.fcs</t>
  </si>
  <si>
    <t>JHT14(4)_Plate1_Group(2)_E9.fcs</t>
  </si>
  <si>
    <t>JHT14(4)_Plate1_Group(2)_F7.fcs</t>
  </si>
  <si>
    <t>JHT14(4)_Plate1_Group(2)_F8.fcs</t>
  </si>
  <si>
    <t>JHT14(4)_Plate1_Group(2)_F9.fcs</t>
  </si>
  <si>
    <t>JHT14(4)_Plate1_Group(2)_G7.fcs</t>
  </si>
  <si>
    <t>JHT14(4)_Plate1_Group(2)_G8.fcs</t>
  </si>
  <si>
    <t>JHT14(4)_Plate1_Group(2)_G9.fcs</t>
  </si>
  <si>
    <t>JHT14(4)_Plate1_Group(2)_H7.fcs</t>
  </si>
  <si>
    <t>JHT14(4)_Plate1_Group(2)_H8.fcs</t>
  </si>
  <si>
    <t>JHT14(4)_Plate1_Group(2)_H9.fcs</t>
  </si>
  <si>
    <t>JHT14(4)_Plate1_Group(3)_A10.fcs</t>
  </si>
  <si>
    <t>JHT14(4)_Plate1_Group(3)_A11.fcs</t>
  </si>
  <si>
    <t>JHT14(4)_Plate1_Group(3)_A12.fcs</t>
  </si>
  <si>
    <t>JHT14(4)_Plate1_Group(3)_B10.fcs</t>
  </si>
  <si>
    <t>JHT14(4)_Plate1_Group(3)_B11.fcs</t>
  </si>
  <si>
    <t>JHT14(4)_Plate1_Group(3)_B12.fcs</t>
  </si>
  <si>
    <t>JHT14(4)_Plate1_Group(3)_C10.fcs</t>
  </si>
  <si>
    <t>JHT14(4)_Plate1_Group(3)_C11.fcs</t>
  </si>
  <si>
    <t>JHT14(4)_Plate1_Group(3)_C12.fcs</t>
  </si>
  <si>
    <t>JHT14(4)_Plate1_Group(3)_D10.fcs</t>
  </si>
  <si>
    <t>JHT14(4)_Plate1_Group(3)_D11.fcs</t>
  </si>
  <si>
    <t>JHT14(4)_Plate1_Group(3)_D12.fcs</t>
  </si>
  <si>
    <t>JHT14(4)_Plate1_Group(3)_E10.fcs</t>
  </si>
  <si>
    <t>JHT14(4)_Plate1_Group(3)_E11.fcs</t>
  </si>
  <si>
    <t>JHT14(4)_Plate1_Group(3)_E12.fcs</t>
  </si>
  <si>
    <t>JHT14(4)_Plate1_Group(3)_F10.fcs</t>
  </si>
  <si>
    <t>JHT14(4)_Plate1_Group(3)_F11.fcs</t>
  </si>
  <si>
    <t>JHT14(4)_Plate1_Group(3)_F12.fcs</t>
  </si>
  <si>
    <t>JHT14(4)_Plate1_Group(3)_G10.fcs</t>
  </si>
  <si>
    <t>JHT14(4)_Plate1_Group(3)_G11.fcs</t>
  </si>
  <si>
    <t>JHT14(4)_Plate1_Group(3)_G12.fcs</t>
  </si>
  <si>
    <t>JHT14(4)_Plate1_Group(3)_H10.fcs</t>
  </si>
  <si>
    <t>JHT14(4)_Plate1_Group(3)_H11.fcs</t>
  </si>
  <si>
    <t>JHT14(4)_Plate1_Group(3)_H12.fcs</t>
  </si>
  <si>
    <t>JHT14(5)_Plate1_Group_A1.fcs</t>
  </si>
  <si>
    <t>JHT14(5)_Plate1_Group_A2.fcs</t>
  </si>
  <si>
    <t>JHT14(5)_Plate1_Group_A3.fcs</t>
  </si>
  <si>
    <t>JHT14(5)_Plate1_Group_B1.fcs</t>
  </si>
  <si>
    <t>JHT14(5)_Plate1_Group_B2.fcs</t>
  </si>
  <si>
    <t>JHT14(5)_Plate1_Group_B3.fcs</t>
  </si>
  <si>
    <t>JHT14(5)_Plate1_Group_C1.fcs</t>
  </si>
  <si>
    <t>JHT14(5)_Plate1_Group_C2.fcs</t>
  </si>
  <si>
    <t>JHT14(5)_Plate1_Group_C3.fcs</t>
  </si>
  <si>
    <t>JHT14(5)_Plate1_Group_D1.fcs</t>
  </si>
  <si>
    <t>JHT14(5)_Plate1_Group_D2.fcs</t>
  </si>
  <si>
    <t>JHT14(5)_Plate1_Group_D3.fcs</t>
  </si>
  <si>
    <t>JHT14(5)_Plate1_Group_E1.fcs</t>
  </si>
  <si>
    <t>JHT14(5)_Plate1_Group_E2.fcs</t>
  </si>
  <si>
    <t>JHT14(5)_Plate1_Group_E3.fcs</t>
  </si>
  <si>
    <t>JHT14(5)_Plate1_Group_F1.fcs</t>
  </si>
  <si>
    <t>JHT14(5)_Plate1_Group_F2.fcs</t>
  </si>
  <si>
    <t>JHT14(5)_Plate1_Group_F3.fcs</t>
  </si>
  <si>
    <t>JHT14(5)_Plate1_Group_G1.fcs</t>
  </si>
  <si>
    <t>JHT14(5)_Plate1_Group_G2.fcs</t>
  </si>
  <si>
    <t>JHT14(5)_Plate1_Group_G3.fcs</t>
  </si>
  <si>
    <t>JHT14(5)_Plate1_Group_H1.fcs</t>
  </si>
  <si>
    <t>JHT14(5)_Plate1_Group_H2.fcs</t>
  </si>
  <si>
    <t>JHT14(5)_Plate1_Group_H3.fcs</t>
  </si>
  <si>
    <t>JHT14(5)_Plate1_Group(1)_A4.fcs</t>
  </si>
  <si>
    <t>JHT14(5)_Plate1_Group(1)_A5.fcs</t>
  </si>
  <si>
    <t>JHT14(5)_Plate1_Group(1)_A6.fcs</t>
  </si>
  <si>
    <t>JHT14(5)_Plate1_Group(1)_B4.fcs</t>
  </si>
  <si>
    <t>JHT14(5)_Plate1_Group(1)_B5.fcs</t>
  </si>
  <si>
    <t>JHT14(5)_Plate1_Group(1)_B6.fcs</t>
  </si>
  <si>
    <t>JHT14(5)_Plate1_Group(1)_C4.fcs</t>
  </si>
  <si>
    <t>JHT14(5)_Plate1_Group(1)_C5.fcs</t>
  </si>
  <si>
    <t>JHT14(5)_Plate1_Group(1)_C6.fcs</t>
  </si>
  <si>
    <t>JHT14(5)_Plate1_Group(1)_D4.fcs</t>
  </si>
  <si>
    <t>JHT14(5)_Plate1_Group(1)_D5.fcs</t>
  </si>
  <si>
    <t>JHT14(5)_Plate1_Group(1)_D6.fcs</t>
  </si>
  <si>
    <t>JHT14(5)_Plate1_Group(1)_E4.fcs</t>
  </si>
  <si>
    <t>JHT14(5)_Plate1_Group(1)_E5.fcs</t>
  </si>
  <si>
    <t>JHT14(5)_Plate1_Group(1)_E6.fcs</t>
  </si>
  <si>
    <t>JHT14(4)_Plate1_Group(3)_Sample.fcs</t>
  </si>
  <si>
    <t>JHT14(6)_Plate1_Group_A1.fcs</t>
  </si>
  <si>
    <t>JHT14(6)_Plate1_Group_A2.fcs</t>
  </si>
  <si>
    <t>JHT14(6)_Plate1_Group_A3.fcs</t>
  </si>
  <si>
    <t>JHT14(6)_Plate1_Group_B1.fcs</t>
  </si>
  <si>
    <t>JHT14(6)_Plate1_Group_B2.fcs</t>
  </si>
  <si>
    <t>JHT14(6)_Plate1_Group_B3.fcs</t>
  </si>
  <si>
    <t>JHT14(6)_Plate1_Group_C1.fcs</t>
  </si>
  <si>
    <t>JHT14(6)_Plate1_Group_C2.fcs</t>
  </si>
  <si>
    <t>JHT14(6)_Plate1_Group_C3.fcs</t>
  </si>
  <si>
    <t>JHT14(6)_Plate1_Group_D1.fcs</t>
  </si>
  <si>
    <t>JHT14(6)_Plate1_Group_D2.fcs</t>
  </si>
  <si>
    <t>JHT14(6)_Plate1_Group_D3.fcs</t>
  </si>
  <si>
    <t>JHT14(6)_Plate1_Group_E1.fcs</t>
  </si>
  <si>
    <t>JHT14(6)_Plate1_Group_E2.fcs</t>
  </si>
  <si>
    <t>JHT14(6)_Plate1_Group_E3.fcs</t>
  </si>
  <si>
    <t>JHT14(6)_Plate1_Group_F1.fcs</t>
  </si>
  <si>
    <t>JHT14(6)_Plate1_Group_F2.fcs</t>
  </si>
  <si>
    <t>JHT14(6)_Plate1_Group_F3.fcs</t>
  </si>
  <si>
    <t>JHT14(6)_Plate1_Group_G1.fcs</t>
  </si>
  <si>
    <t>JHT14(6)_Plate1_Group_G2.fcs</t>
  </si>
  <si>
    <t>JHT14(6)_Plate1_Group_G3.fcs</t>
  </si>
  <si>
    <t>JHT14(6)_Plate1_Group_H1.fcs</t>
  </si>
  <si>
    <t>JHT14(6)_Plate1_Group_H2.fcs</t>
  </si>
  <si>
    <t>JHT14(6)_Plate1_Group_H3.fcs</t>
  </si>
  <si>
    <t>JHT14(6)_Plate1_Group(1)_A4.fcs</t>
  </si>
  <si>
    <t>JHT14(6)_Plate1_Group(1)_A5.fcs</t>
  </si>
  <si>
    <t>JHT14(6)_Plate1_Group(1)_A6.fcs</t>
  </si>
  <si>
    <t>JHT14(6)_Plate1_Group(1)_B4.fcs</t>
  </si>
  <si>
    <t>JHT14(6)_Plate1_Group(1)_B5.fcs</t>
  </si>
  <si>
    <t>JHT14(6)_Plate1_Group(1)_B6.fcs</t>
  </si>
  <si>
    <t>JHT14(6)_Plate1_Group(1)_C4.fcs</t>
  </si>
  <si>
    <t>JHT14(6)_Plate1_Group(1)_C5.fcs</t>
  </si>
  <si>
    <t>JHT14(6)_Plate1_Group(1)_C6.fcs</t>
  </si>
  <si>
    <t>JHT14(6)_Plate1_Group(1)_D4.fcs</t>
  </si>
  <si>
    <t>JHT14(6)_Plate1_Group(1)_D5.fcs</t>
  </si>
  <si>
    <t>JHT14(6)_Plate1_Group(1)_D6.fcs</t>
  </si>
  <si>
    <t>JHT14(6)_Plate1_Group(1)_E4.fcs</t>
  </si>
  <si>
    <t>JHT14(6)_Plate1_Group(1)_E5.fcs</t>
  </si>
  <si>
    <t>JHT14(6)_Plate1_Group(1)_E6.fcs</t>
  </si>
  <si>
    <t>JHT14(6)_Plate1_Group(1)_F4.fcs</t>
  </si>
  <si>
    <t>JHT14(6)_Plate1_Group(1)_F5.fcs</t>
  </si>
  <si>
    <t>JHT14(6)_Plate1_Group(1)_F6.fcs</t>
  </si>
  <si>
    <t>JHT14(6)_Plate1_Group(1)_G4.fcs</t>
  </si>
  <si>
    <t>JHT14(6)_Plate1_Group(1)_G5.fcs</t>
  </si>
  <si>
    <t>JHT14(6)_Plate1_Group(1)_G6.fcs</t>
  </si>
  <si>
    <t>JHT14(6)_Plate1_Group(1)_H4.fcs</t>
  </si>
  <si>
    <t>JHT14(6)_Plate1_Group(1)_H5.fcs</t>
  </si>
  <si>
    <t>JHT14(6)_Plate1_Group(1)_H6.fcs</t>
  </si>
  <si>
    <t>JHT14(6)_Plate1_Group(2)_A7.fcs</t>
  </si>
  <si>
    <t>JHT14(6)_Plate1_Group(2)_A8.fcs</t>
  </si>
  <si>
    <t>JHT14(6)_Plate1_Group(2)_A9.fcs</t>
  </si>
  <si>
    <t>JHT14(6)_Plate1_Group(2)_B7.fcs</t>
  </si>
  <si>
    <t>JHT14(6)_Plate1_Group(2)_B8.fcs</t>
  </si>
  <si>
    <t>JHT14(6)_Plate1_Group(2)_B9.fcs</t>
  </si>
  <si>
    <t>JHT14(6)_Plate1_Group(2)_C7.fcs</t>
  </si>
  <si>
    <t>JHT14(6)_Plate1_Group(2)_C8.fcs</t>
  </si>
  <si>
    <t>JHT14(6)_Plate1_Group(2)_C9.fcs</t>
  </si>
  <si>
    <t>JHT14(6)_Plate1_Group(2)_D7.fcs</t>
  </si>
  <si>
    <t>JHT14(6)_Plate1_Group(2)_D8.fcs</t>
  </si>
  <si>
    <t>JHT14(6)_Plate1_Group(2)_D9.fcs</t>
  </si>
  <si>
    <t>JHT14(6)_Plate1_Group(2)_E7.fcs</t>
  </si>
  <si>
    <t>JHT14(6)_Plate1_Group(2)_E8.fcs</t>
  </si>
  <si>
    <t>JHT14(6)_Plate1_Group(2)_E9.fcs</t>
  </si>
  <si>
    <t>JHT14(6)_Plate1_Group(2)_F7.fcs</t>
  </si>
  <si>
    <t>JHT14(6)_Plate1_Group(2)_F8.fcs</t>
  </si>
  <si>
    <t>JHT14(6)_Plate1_Group(2)_F9.fcs</t>
  </si>
  <si>
    <t>JHT14(6)_Plate1_Group(2)_G7.fcs</t>
  </si>
  <si>
    <t>JHT14(6)_Plate1_Group(2)_G8.fcs</t>
  </si>
  <si>
    <t>JHT14(6)_Plate1_Group(2)_G9.fcs</t>
  </si>
  <si>
    <t>JHT14(6)_Plate1_Group(2)_H7.fcs</t>
  </si>
  <si>
    <t>JHT14(6)_Plate1_Group(2)_H8.fcs</t>
  </si>
  <si>
    <t>JHT14(6)_Plate1_Group(2)_H9.fcs</t>
  </si>
  <si>
    <t>JHT14(6)_Plate1_Group(3)_A10.fcs</t>
  </si>
  <si>
    <t>JHT14(6)_Plate1_Group(3)_A11.fcs</t>
  </si>
  <si>
    <t>JHT14(6)_Plate1_Group(3)_A12.fcs</t>
  </si>
  <si>
    <t>JHT14(6)_Plate1_Group(3)_B10.fcs</t>
  </si>
  <si>
    <t>JHT14(6)_Plate1_Group(3)_B11.fcs</t>
  </si>
  <si>
    <t>JHT14(6)_Plate1_Group(3)_B12.fcs</t>
  </si>
  <si>
    <t>JHT14(6)_Plate1_Group(3)_C10.fcs</t>
  </si>
  <si>
    <t>JHT14(6)_Plate1_Group(3)_C11.fcs</t>
  </si>
  <si>
    <t>JHT14(6)_Plate1_Group(3)_C12.fcs</t>
  </si>
  <si>
    <t>JHT14(6)_Plate1_Group(3)_D10.fcs</t>
  </si>
  <si>
    <t>JHT14(6)_Plate1_Group(3)_D11.fcs</t>
  </si>
  <si>
    <t>JHT14(6)_Plate1_Group(3)_D12.fcs</t>
  </si>
  <si>
    <t>JHT14(6)_Plate1_Group(3)_E10.fcs</t>
  </si>
  <si>
    <t>JHT14(6)_Plate1_Group(3)_E11.fcs</t>
  </si>
  <si>
    <t>JHT14(6)_Plate1_Group(3)_E12.fcs</t>
  </si>
  <si>
    <t>JHT14(6)_Plate1_Group(3)_F10.fcs</t>
  </si>
  <si>
    <t>JHT14(6)_Plate1_Group(3)_F11.fcs</t>
  </si>
  <si>
    <t>JHT14(6)_Plate1_Group(3)_F12.fcs</t>
  </si>
  <si>
    <t>JHT14(6)_Plate1_Group(3)_G10.fcs</t>
  </si>
  <si>
    <t>JHT14(6)_Plate1_Group(3)_G11.fcs</t>
  </si>
  <si>
    <t>JHT14(6)_Plate1_Group(3)_G12.fcs</t>
  </si>
  <si>
    <t>JHT14(6)_Plate1_Group(3)_H10.fcs</t>
  </si>
  <si>
    <t>JHT14(6)_Plate1_Group(3)_H11.fcs</t>
  </si>
  <si>
    <t>JHT14(6)_Plate1_Group(3)_H12.fcs</t>
  </si>
  <si>
    <t>JHT14(7)_Plate1_Group_A1.fcs</t>
  </si>
  <si>
    <t>JHT14(7)_Plate1_Group_A2.fcs</t>
  </si>
  <si>
    <t>JHT14(7)_Plate1_Group_A3.fcs</t>
  </si>
  <si>
    <t>JHT14(7)_Plate1_Group_B1.fcs</t>
  </si>
  <si>
    <t>JHT14(7)_Plate1_Group_B2.fcs</t>
  </si>
  <si>
    <t>JHT14(7)_Plate1_Group_B3.fcs</t>
  </si>
  <si>
    <t>JHT14(7)_Plate1_Group_C1.fcs</t>
  </si>
  <si>
    <t>JHT14(7)_Plate1_Group_C2.fcs</t>
  </si>
  <si>
    <t>JHT14(7)_Plate1_Group_C3.fcs</t>
  </si>
  <si>
    <t>JHT14(7)_Plate1_Group_D1.fcs</t>
  </si>
  <si>
    <t>JHT14(7)_Plate1_Group_D2.fcs</t>
  </si>
  <si>
    <t>JHT14(7)_Plate1_Group_D3.fcs</t>
  </si>
  <si>
    <t>JHT14(7)_Plate1_Group_E1.fcs</t>
  </si>
  <si>
    <t>JHT14(7)_Plate1_Group_E2.fcs</t>
  </si>
  <si>
    <t>JHT14(7)_Plate1_Group_E3.fcs</t>
  </si>
  <si>
    <t>JHT14(7)_Plate1_Group_F1.fcs</t>
  </si>
  <si>
    <t>JHT14(7)_Plate1_Group_F2.fcs</t>
  </si>
  <si>
    <t>JHT14(7)_Plate1_Group_F3.fcs</t>
  </si>
  <si>
    <t>JHT14(7)_Plate1_Group_G1.fcs</t>
  </si>
  <si>
    <t>JHT14(7)_Plate1_Group_G2.fcs</t>
  </si>
  <si>
    <t>JHT14(7)_Plate1_Group_G3.fcs</t>
  </si>
  <si>
    <t>JHT14(7)_Plate1_Group_H1.fcs</t>
  </si>
  <si>
    <t>JHT14(7)_Plate1_Group_H2.fcs</t>
  </si>
  <si>
    <t>JHT14(7)_Plate1_Group_H3.fcs</t>
  </si>
  <si>
    <t>TASBE session logging enabled, release 7.6.0-alpha</t>
  </si>
  <si>
    <t>CM-JHT14.mat</t>
  </si>
  <si>
    <t>colormodel/</t>
  </si>
  <si>
    <t>Blank_6</t>
  </si>
  <si>
    <t>GFP_6</t>
  </si>
  <si>
    <t>BFP_6</t>
  </si>
  <si>
    <t>mRuby_6</t>
  </si>
  <si>
    <t>All_6</t>
  </si>
  <si>
    <t>Blank_12</t>
  </si>
  <si>
    <t>GFP_12</t>
  </si>
  <si>
    <t>BFP_12</t>
  </si>
  <si>
    <t>mRuby_12</t>
  </si>
  <si>
    <t>All_12</t>
  </si>
  <si>
    <t>Blank_96</t>
  </si>
  <si>
    <t>GFP_96</t>
  </si>
  <si>
    <t>BFP_96</t>
  </si>
  <si>
    <t>mRuby_96</t>
  </si>
  <si>
    <t>All_96</t>
  </si>
  <si>
    <t>JHT14(1)_Plate1_Group(1)_A4.fcs</t>
  </si>
  <si>
    <t>JHT14(1)_Plate1_Group(1)_A5.fcs</t>
  </si>
  <si>
    <t>JHT14(1)_Plate1_Group(1)_A6.fcs</t>
  </si>
  <si>
    <t>JHT14(1)_Plate1_Group(1)_B4.fcs</t>
  </si>
  <si>
    <t>JHT14(1)_Plate1_Group(1)_B5.fcs</t>
  </si>
  <si>
    <t>JHT14(1)_Plate1_Group(1)_B6.fcs</t>
  </si>
  <si>
    <t>JHT14(1)_Plate1_Group(1)_C4.fcs</t>
  </si>
  <si>
    <t>JHT14(1)_Plate1_Group(1)_C5.fcs</t>
  </si>
  <si>
    <t>JHT14(1)_Plate1_Group(1)_C6.fcs</t>
  </si>
  <si>
    <t>JHT14(1)_Plate1_Group(1)_D4.fcs</t>
  </si>
  <si>
    <t>JHT14(1)_Plate1_Group(1)_D5.fcs</t>
  </si>
  <si>
    <t>JHT14(1)_Plate1_Group(1)_D6.fcs</t>
  </si>
  <si>
    <t>JHT14(1)_Plate1_Group(1)_E4.fcs</t>
  </si>
  <si>
    <t>JHT14(1)_Plate1_Group(1)_E5.fcs</t>
  </si>
  <si>
    <t>JHT14(1)_Plate1_Group(1)_E6.fcs</t>
  </si>
  <si>
    <t>JHT14(3)_Plate1_Group(1)_A4.fcs</t>
  </si>
  <si>
    <t>JHT14(3)_Plate1_Group(1)_A5.fcs</t>
  </si>
  <si>
    <t>JHT14(3)_Plate1_Group(1)_A6.fcs</t>
  </si>
  <si>
    <t>JHT14(3)_Plate1_Group(1)_B4.fcs</t>
  </si>
  <si>
    <t>JHT14(3)_Plate1_Group(1)_B5.fcs</t>
  </si>
  <si>
    <t>JHT14(3)_Plate1_Group(1)_B6.fcs</t>
  </si>
  <si>
    <t>JHT14(3)_Plate1_Group(1)_C4.fcs</t>
  </si>
  <si>
    <t>JHT14(3)_Plate1_Group(1)_C5.fcs</t>
  </si>
  <si>
    <t>JHT14(3)_Plate1_Group(1)_C6.fcs</t>
  </si>
  <si>
    <t>JHT14(3)_Plate1_Group(1)_D4.fcs</t>
  </si>
  <si>
    <t>JHT14(3)_Plate1_Group(1)_D5.fcs</t>
  </si>
  <si>
    <t>JHT14(3)_Plate1_Group(1)_D6.fcs</t>
  </si>
  <si>
    <t>JHT14(3)_Plate1_Group(1)_E4.fcs</t>
  </si>
  <si>
    <t>JHT14(3)_Plate1_Group(1)_E5.fcs</t>
  </si>
  <si>
    <t>JHT14(3)_Plate1_Group(1)_E6.fcs</t>
  </si>
  <si>
    <t>JHT14(7)_Plate1_Group(1)_A4.fcs</t>
  </si>
  <si>
    <t>JHT14(7)_Plate1_Group(1)_A5.fcs</t>
  </si>
  <si>
    <t>JHT14(7)_Plate1_Group(1)_A6.fcs</t>
  </si>
  <si>
    <t>JHT14(7)_Plate1_Group(1)_B4.fcs</t>
  </si>
  <si>
    <t>JHT14(7)_Plate1_Group(1)_B5.fcs</t>
  </si>
  <si>
    <t>JHT14(7)_Plate1_Group(1)_B6.fcs</t>
  </si>
  <si>
    <t>JHT14(7)_Plate1_Group(1)_C4.fcs</t>
  </si>
  <si>
    <t>JHT14(7)_Plate1_Group(1)_C5.fcs</t>
  </si>
  <si>
    <t>JHT14(7)_Plate1_Group(1)_C6.fcs</t>
  </si>
  <si>
    <t>JHT14(7)_Plate1_Group(1)_D4.fcs</t>
  </si>
  <si>
    <t>JHT14(7)_Plate1_Group(1)_D5.fcs</t>
  </si>
  <si>
    <t>JHT14(7)_Plate1_Group(1)_D6.fcs</t>
  </si>
  <si>
    <t>JHT14(7)_Plate1_Group(1)_E4.fcs</t>
  </si>
  <si>
    <t>JHT14(7)_Plate1_Group(1)_E5.fcs</t>
  </si>
  <si>
    <t>JHT14(7)_Plate1_Group(1)_E6.fcs</t>
  </si>
  <si>
    <t>C:\Users\Justin Letendre\Google Drive (jletendr@bu.edu)\LCP Projects\ModuleIntegrationGroup_Data\20180723 JustinLetendre JHT14 High FlpO Constitutive shRNA Dosing Matrix\FCS\All\</t>
  </si>
  <si>
    <t>Blank_48</t>
  </si>
  <si>
    <t>GFP_48</t>
  </si>
  <si>
    <t>BFP_48</t>
  </si>
  <si>
    <t>mRuby_48</t>
  </si>
  <si>
    <t>All_48</t>
  </si>
  <si>
    <t>Beads_48</t>
  </si>
  <si>
    <t>Beads_6</t>
  </si>
  <si>
    <t>Beads_12</t>
  </si>
  <si>
    <t>Beads_96</t>
  </si>
  <si>
    <t>JHT14_Plate1_Group(3)_Sample.fcs</t>
  </si>
  <si>
    <t>JHT14(2)_Plate1_Group(3)_Sample.fcs</t>
  </si>
  <si>
    <t>JHT14(6)_Plate1_Group(3)_Sample.fcs</t>
  </si>
  <si>
    <t>Count</t>
  </si>
  <si>
    <t xml:space="preserve">BFP GMean </t>
  </si>
  <si>
    <t>BFP StDev</t>
  </si>
  <si>
    <t>GFP GMean</t>
  </si>
  <si>
    <t>GFP StDev</t>
  </si>
  <si>
    <t>Input SNR</t>
  </si>
  <si>
    <t>Output SNR</t>
  </si>
  <si>
    <t xml:space="preserve">GFP GMean </t>
  </si>
  <si>
    <t>6hr</t>
  </si>
  <si>
    <t>12hr</t>
  </si>
  <si>
    <t>48hr</t>
  </si>
  <si>
    <t>96hr</t>
  </si>
  <si>
    <t>6 StDev</t>
  </si>
  <si>
    <t>12 StDev</t>
  </si>
  <si>
    <t>48 StDev</t>
  </si>
  <si>
    <t>96 StDev</t>
  </si>
  <si>
    <t>Fold Change, Activation: Scale = 1 to 100</t>
  </si>
  <si>
    <t>ng FlpO</t>
  </si>
  <si>
    <t>ng shRNA</t>
  </si>
  <si>
    <t>Fold Change, Leakiness: Scale = 100 to 0</t>
  </si>
  <si>
    <t>FC Activation/FC Leakiness: Scale = 0 to 50</t>
  </si>
  <si>
    <t>Output SNR, 96 hr: Scale = -20 to 0</t>
  </si>
  <si>
    <r>
      <rPr>
        <sz val="12"/>
        <color theme="1"/>
        <rFont val="Calibri"/>
        <family val="2"/>
      </rPr>
      <t>Δ</t>
    </r>
    <r>
      <rPr>
        <sz val="12"/>
        <color theme="1"/>
        <rFont val="Arial"/>
        <family val="2"/>
      </rPr>
      <t>SNR, 96 hr: Scale = -20 to 5</t>
    </r>
  </si>
  <si>
    <t>Output GFP SNR</t>
  </si>
  <si>
    <t>Output GFP FC Activation</t>
  </si>
  <si>
    <t>Output GFP Leakiness</t>
  </si>
  <si>
    <t>^^^Probably not the best metric, BFP held constant due vs variable FlpO amount</t>
  </si>
  <si>
    <t>SNR @ 96 hours, Scale = -20 to 0</t>
  </si>
  <si>
    <t>FlpO (ng)</t>
  </si>
  <si>
    <t>shRNA (ng)</t>
  </si>
  <si>
    <t>jSNR</t>
  </si>
  <si>
    <t>Memory @ 96 hours, Scale = 0 to 60</t>
  </si>
  <si>
    <t>Transfection</t>
    <phoneticPr fontId="0" type="noConversion"/>
  </si>
  <si>
    <t>collection:</t>
    <phoneticPr fontId="0" type="noConversion"/>
  </si>
  <si>
    <t>comerecombinase</t>
  </si>
  <si>
    <t>Unit:</t>
    <phoneticPr fontId="0" type="noConversion"/>
  </si>
  <si>
    <t>ng</t>
    <phoneticPr fontId="0" type="noConversion"/>
  </si>
  <si>
    <t>Sum</t>
    <phoneticPr fontId="0" type="noConversion"/>
  </si>
  <si>
    <t>Plasmid Number</t>
    <phoneticPr fontId="0" type="noConversion"/>
  </si>
  <si>
    <t>5F0S</t>
  </si>
  <si>
    <t>5F1S</t>
  </si>
  <si>
    <t>5F5S</t>
  </si>
  <si>
    <t>5F10S</t>
  </si>
  <si>
    <t>5F20S</t>
  </si>
  <si>
    <t>Plasmid Description</t>
    <phoneticPr fontId="0" type="noConversion"/>
  </si>
  <si>
    <t>URL</t>
    <phoneticPr fontId="0" type="noConversion"/>
  </si>
  <si>
    <t>pBW465</t>
    <phoneticPr fontId="0" type="noConversion"/>
  </si>
  <si>
    <r>
      <rPr>
        <b/>
        <sz val="12"/>
        <color rgb="FFFF0000"/>
        <rFont val="Arial"/>
        <family val="2"/>
      </rPr>
      <t>CFP</t>
    </r>
    <r>
      <rPr>
        <sz val="12"/>
        <color theme="1"/>
        <rFont val="Arial"/>
        <family val="2"/>
      </rPr>
      <t xml:space="preserve"> (pCAG-mRuby)</t>
    </r>
  </si>
  <si>
    <t>https://synbiohub.org/user/chenmzh/JHT6demochenmzh/pBW465/1</t>
    <phoneticPr fontId="0" type="noConversion"/>
  </si>
  <si>
    <t>pBW2139</t>
    <phoneticPr fontId="0" type="noConversion"/>
  </si>
  <si>
    <r>
      <rPr>
        <b/>
        <sz val="12"/>
        <color rgb="FF0070C0"/>
        <rFont val="Arial"/>
        <family val="2"/>
      </rPr>
      <t>IFP</t>
    </r>
    <r>
      <rPr>
        <sz val="12"/>
        <color theme="1"/>
        <rFont val="Arial"/>
        <family val="2"/>
      </rPr>
      <t xml:space="preserve"> (TRE-BFP)</t>
    </r>
  </si>
  <si>
    <t>https://synbiohub.org/user/chenmzh/JHT6demochenmzh/pBW2139/1</t>
    <phoneticPr fontId="0" type="noConversion"/>
  </si>
  <si>
    <t>pBW339</t>
    <phoneticPr fontId="0" type="noConversion"/>
  </si>
  <si>
    <r>
      <rPr>
        <b/>
        <sz val="12"/>
        <color rgb="FF00B050"/>
        <rFont val="Arial"/>
        <family val="2"/>
      </rPr>
      <t>OFP</t>
    </r>
    <r>
      <rPr>
        <sz val="12"/>
        <color theme="1"/>
        <rFont val="Arial"/>
        <family val="2"/>
      </rPr>
      <t xml:space="preserve"> (FSF-GFP)</t>
    </r>
  </si>
  <si>
    <t>https://synbiohub.org/user/chenmzh/JHT6demochenmzh/pBW339/1</t>
    <phoneticPr fontId="0" type="noConversion"/>
  </si>
  <si>
    <t>pBW586</t>
    <phoneticPr fontId="0" type="noConversion"/>
  </si>
  <si>
    <t>pEF-rtTA</t>
  </si>
  <si>
    <t>https://synbiohub.org/user/chenmzh/JHT6demochenmzh/pBW586/1</t>
    <phoneticPr fontId="0" type="noConversion"/>
  </si>
  <si>
    <t>pBW2909</t>
  </si>
  <si>
    <t>TRE-Flp-FF4</t>
  </si>
  <si>
    <t>https://synbiohub.org/user/chenmzh/JHT6demochenmzh/pBW363/1</t>
    <phoneticPr fontId="0" type="noConversion"/>
  </si>
  <si>
    <t>pLC41</t>
  </si>
  <si>
    <t>hU6-shFF4</t>
  </si>
  <si>
    <t>pLC20</t>
  </si>
  <si>
    <t>hU6-tetO-shFF4</t>
  </si>
  <si>
    <t>BW363</t>
  </si>
  <si>
    <t>BLANK</t>
  </si>
  <si>
    <t>https://synbiohub.org/user/chenmzh/JHT6demochenmzh/pLC41/1</t>
    <phoneticPr fontId="0" type="noConversion"/>
  </si>
  <si>
    <t>15F0S</t>
  </si>
  <si>
    <t>15F1S</t>
  </si>
  <si>
    <t>15F5S</t>
  </si>
  <si>
    <t>15F10S</t>
  </si>
  <si>
    <t>15F20S</t>
  </si>
  <si>
    <t>pBW363</t>
    <phoneticPr fontId="0" type="noConversion"/>
  </si>
  <si>
    <t>pLC41</t>
    <phoneticPr fontId="0" type="noConversion"/>
  </si>
  <si>
    <t>25F0S</t>
  </si>
  <si>
    <t>25F1S</t>
  </si>
  <si>
    <t>25F5S</t>
  </si>
  <si>
    <t>25F10S</t>
  </si>
  <si>
    <t>25F20S</t>
  </si>
  <si>
    <t>35F0S</t>
  </si>
  <si>
    <t>35F1S</t>
  </si>
  <si>
    <t>35F5S</t>
  </si>
  <si>
    <t>35F10S</t>
  </si>
  <si>
    <t>35F20S</t>
  </si>
  <si>
    <t>Sum</t>
  </si>
  <si>
    <t>Plasmid Number</t>
  </si>
  <si>
    <t>pBW361</t>
    <phoneticPr fontId="0" type="noConversion"/>
  </si>
  <si>
    <r>
      <rPr>
        <b/>
        <sz val="12"/>
        <color rgb="FF00B050"/>
        <rFont val="Arial"/>
        <family val="2"/>
      </rPr>
      <t>GFP</t>
    </r>
    <r>
      <rPr>
        <sz val="12"/>
        <color theme="1"/>
        <rFont val="Arial"/>
        <family val="2"/>
      </rPr>
      <t>(Cag-True-GFP pKK202)</t>
    </r>
  </si>
  <si>
    <t>https://synbiohub.org/user/chenmzh/JHT6demochenmzh/pBW361/1</t>
    <phoneticPr fontId="0" type="noConversion"/>
  </si>
  <si>
    <t>pBW462</t>
    <phoneticPr fontId="0" type="noConversion"/>
  </si>
  <si>
    <r>
      <rPr>
        <b/>
        <sz val="12"/>
        <color rgb="FF0070C0"/>
        <rFont val="Arial"/>
        <family val="2"/>
      </rPr>
      <t>BFP</t>
    </r>
    <r>
      <rPr>
        <sz val="12"/>
        <color theme="1"/>
        <rFont val="Arial"/>
        <family val="2"/>
      </rPr>
      <t xml:space="preserve"> (Cag-BFP pKK204)</t>
    </r>
  </si>
  <si>
    <t>https://synbiohub.org/user/chenmzh/JHT6demochenmzh/pBW462/1</t>
    <phoneticPr fontId="0" type="noConversion"/>
  </si>
  <si>
    <r>
      <rPr>
        <b/>
        <sz val="12"/>
        <color rgb="FFFF0000"/>
        <rFont val="Arial"/>
        <family val="2"/>
      </rPr>
      <t>mRuby</t>
    </r>
    <r>
      <rPr>
        <sz val="12"/>
        <color theme="1"/>
        <rFont val="Arial"/>
        <family val="2"/>
      </rPr>
      <t xml:space="preserve"> (Cag-mRuby pKK205)</t>
    </r>
  </si>
  <si>
    <t xml:space="preserve">BLANK (Cag-FALSE pKK203) </t>
    <phoneticPr fontId="0" type="noConversion"/>
  </si>
  <si>
    <t>Beads</t>
    <phoneticPr fontId="0" type="noConversion"/>
  </si>
  <si>
    <t>Making medium</t>
    <phoneticPr fontId="0" type="noConversion"/>
  </si>
  <si>
    <t>Thaw cells</t>
    <phoneticPr fontId="0" type="noConversion"/>
  </si>
  <si>
    <t>Growth and Maintenance of the 293FT Cell Line</t>
    <phoneticPr fontId="0" type="noConversion"/>
  </si>
  <si>
    <t>General guidelines</t>
    <phoneticPr fontId="0" type="noConversion"/>
  </si>
  <si>
    <t>All solutions and equipment come in contact with the cells are sterile</t>
    <phoneticPr fontId="0" type="noConversion"/>
  </si>
  <si>
    <t>proper sterile technique and work in a laminar flow hood</t>
    <phoneticPr fontId="0" type="noConversion"/>
  </si>
  <si>
    <t xml:space="preserve">Make sure have cells established and still have frozen stocks on hand </t>
    <phoneticPr fontId="0" type="noConversion"/>
  </si>
  <si>
    <t>recommend early-passage cells</t>
    <phoneticPr fontId="0" type="noConversion"/>
  </si>
  <si>
    <t>For general maintenance, pass 293FT cells when &gt;80% confluent, avoid overgrowth</t>
    <phoneticPr fontId="0" type="noConversion"/>
  </si>
  <si>
    <t xml:space="preserve">trypan blue for viability. </t>
    <phoneticPr fontId="0" type="noConversion"/>
  </si>
  <si>
    <t>Log phage should be &gt;90% viability</t>
    <phoneticPr fontId="0" type="noConversion"/>
  </si>
  <si>
    <t>when thawing or subculturing cell, make sure medium warmed to room temperature</t>
    <phoneticPr fontId="0" type="noConversion"/>
  </si>
  <si>
    <t>prior to transfection, cells should be at the appropriate confluence and at greater than 90% viability</t>
    <phoneticPr fontId="0" type="noConversion"/>
  </si>
  <si>
    <t>Maintain 293FT cells in complete medium containing 500 μg/ml Gibco™ Geneticin™.</t>
  </si>
  <si>
    <t>Before starting</t>
    <phoneticPr fontId="0" type="noConversion"/>
  </si>
  <si>
    <t>15 ml sterile, conical tubes</t>
  </si>
  <si>
    <t>Appropriate sized tissue culture flasks and pipettes</t>
  </si>
  <si>
    <t>Complete medium</t>
  </si>
  <si>
    <t>50 mg/ml Gibco™ Geneticin™</t>
  </si>
  <si>
    <t>Phosphate-Buffered Saline (PBS; Catalog No. 10010-023)</t>
  </si>
  <si>
    <t>Reagents for counting cells</t>
  </si>
  <si>
    <t>Trypsin/versene (EDTA) solution or other trypsin solution</t>
  </si>
  <si>
    <t>Freezing Medium</t>
  </si>
  <si>
    <t>Table-top centrifuge Cryovials (if needed)</t>
  </si>
  <si>
    <t>Media for 293FT Cells</t>
  </si>
  <si>
    <t>Complete Medium</t>
  </si>
  <si>
    <t>[Antibiotic]</t>
  </si>
  <si>
    <t>D-MEM (high glucose)</t>
  </si>
  <si>
    <t>500 μg/ml Gibco™ Geneticin™</t>
  </si>
  <si>
    <t>90% complete medium</t>
  </si>
  <si>
    <t>10% fetal bovine serum (FBS)</t>
  </si>
  <si>
    <t>10% DMSO</t>
  </si>
  <si>
    <t>0.1 mM MEM Non-Essential Amino Acids (NEAA)</t>
  </si>
  <si>
    <t>6 mM L-glutamine</t>
  </si>
  <si>
    <t>1 mM MEM Sodium Pyruvate</t>
  </si>
  <si>
    <t>1% Pen-Strep (optional)</t>
  </si>
  <si>
    <t>Preparing Medium </t>
  </si>
  <si>
    <t>1. Remove 100 ml D-MEM from 1 L D-MEM bottle and replace with 100 ml FBS.</t>
  </si>
  <si>
    <t>2. To the bottle of medium, add the following:</t>
  </si>
  <si>
    <t>200 mM L-Glutamine (100X) 10 ml</t>
  </si>
  <si>
    <t>10 mM MEM Non-Essential Amino Acids (100X) 10 ml</t>
  </si>
  <si>
    <t>100 mM MEM Sodium Pyruvate (100X) 10 ml</t>
  </si>
  <si>
    <t>Optional: Penicillin-Streptomycin (100X) 10 ml</t>
  </si>
  <si>
    <t>3. Filter sterilize the medium using 0.45 μm filtration device.</t>
  </si>
  <si>
    <t>4. Store the complete medium at 4°C until use. The medium is stable for 6 months at 4°C (avoid introducing any contamination into the medium).</t>
  </si>
  <si>
    <t>5. To an aliquot of the complete medium, add Geneticin to prepare complete medium with 500 μg/ml Geneticin</t>
  </si>
  <si>
    <t>Thawing Cells</t>
  </si>
  <si>
    <t>The 293FT Cell Line is supplied in a vial containing 3 x 106 cells in 1 ml of Freezing Medium. Store frozen 293FT cells in liquid nitrogen until ready to use.</t>
  </si>
  <si>
    <t>Note: BL2 level</t>
    <phoneticPr fontId="0" type="noConversion"/>
  </si>
  <si>
    <t>DMSO</t>
    <phoneticPr fontId="0" type="noConversion"/>
  </si>
  <si>
    <r>
      <t xml:space="preserve">Thaw cells in prewarmed, complete medium </t>
    </r>
    <r>
      <rPr>
        <b/>
        <sz val="12"/>
        <color theme="1"/>
        <rFont val="Calibri"/>
        <family val="2"/>
        <scheme val="minor"/>
      </rPr>
      <t>without</t>
    </r>
    <r>
      <rPr>
        <sz val="12"/>
        <color theme="1"/>
        <rFont val="Calibri"/>
        <family val="2"/>
        <scheme val="minor"/>
      </rPr>
      <t xml:space="preserve"> Geneticin following the next steps</t>
    </r>
  </si>
  <si>
    <t>1. Remove the vial of frozen cells from liquid nitrogen and thaw quickly in a 37°C water bath.</t>
  </si>
  <si>
    <t xml:space="preserve">2. Just before the cells are completely thawed, decontaminate the outside of the vial with 70% ethanol, and transfer the cells to a sterile 15 ml tube containing PBS. </t>
    <phoneticPr fontId="0" type="noConversion"/>
  </si>
  <si>
    <t>Briefly centrifuge the cells at 150-200 x g and resuspend the cells in 2 ml complete medium without Geneticin.</t>
  </si>
  <si>
    <t>3. Transfer the cells to T-75 cm2 flask containing 10 ml of complete medium without Geneticin.</t>
    <phoneticPr fontId="0" type="noConversion"/>
  </si>
  <si>
    <t>4. Incubate the flask overnight at 37°C for allowing the cells to attach to the bottom of the flask.</t>
  </si>
  <si>
    <t>5. The next day, aspirate off the medium and replace with fresh, complete medium containing 500 μg/ml Geneticin.</t>
  </si>
  <si>
    <t>6. Incubate the cells and check them daily until the cells are 80-90% confluent.</t>
  </si>
  <si>
    <t>7. Proceed to Subculturing Cells    </t>
  </si>
  <si>
    <t>We recommend subculturing cells for a minimum of 3 passages after thawing before use in other applications.</t>
  </si>
  <si>
    <t>Subculturing Cells</t>
  </si>
  <si>
    <t>subculture 293FT cells and maintain cell line in complete medium containing 500 μg/ml Geneticin</t>
    <phoneticPr fontId="0" type="noConversion"/>
  </si>
  <si>
    <t>Parameter</t>
  </si>
  <si>
    <t>Recommended Condition</t>
  </si>
  <si>
    <t>Cell density</t>
  </si>
  <si>
    <t>T-75 cm2 to T-162 cm2 disposable sterile</t>
  </si>
  <si>
    <t>T-flasks. Dilute cells in a total working</t>
  </si>
  <si>
    <t>volume of 15-20 ml for T-75 cm2 flasks and</t>
  </si>
  <si>
    <t>40-50 ml for T-162 cm2 flasks</t>
  </si>
  <si>
    <t>Seeding density</t>
  </si>
  <si>
    <t>2 to 5 x 104 viable cells/cm2</t>
  </si>
  <si>
    <t>Incubation conditions</t>
  </si>
  <si>
    <t>37°C incubator with a humidified</t>
  </si>
  <si>
    <t>atmosphere of 5-10% CO2 in air; loosen caps</t>
  </si>
  <si>
    <t>to allow for oxygenation/aeration</t>
  </si>
  <si>
    <t>Determining Viability and Cell Density </t>
  </si>
  <si>
    <t>1. Transfer a small aliquot of the cell suspension to a microcentrifuge tube and dilute the cells such that the total number of cells counted will not be less than 100 or more than 1,000.</t>
  </si>
  <si>
    <t>2. To 1 ml of the diluted cell suspension, add 100 μl Trypan Blue Stain (0.4%) solution. Gently aspirate to mix.</t>
  </si>
  <si>
    <t>3. Record the dilution factor. The dilution factor equals the total volume (amount of cell suspension and amount of trypan blue) divided by the amount of cell suspension.</t>
  </si>
  <si>
    <t>4. Incubate the cells with the trypan blue solution for 1-2 minutes.</t>
  </si>
  <si>
    <t>5. Count all cells (including the blue cells) using a Coulter Counter or manually using a hemocytometer chamber.</t>
  </si>
  <si>
    <t>6. To calculate the total cells per ml in suspension, multiply the total count by the dilution factor.</t>
  </si>
  <si>
    <t>7. To determine the viability, count only the blue cells. Calculate the % viability: [1.00 - (Number of blue cells ÷ Number of total cells)] x 100</t>
  </si>
  <si>
    <t>Blue==death</t>
    <phoneticPr fontId="0" type="noConversion"/>
  </si>
  <si>
    <t>Cell membrand permeativity</t>
    <phoneticPr fontId="0" type="noConversion"/>
  </si>
  <si>
    <r>
      <t xml:space="preserve">8. Cell viability should be at least 95% for healthy </t>
    </r>
    <r>
      <rPr>
        <b/>
        <sz val="12"/>
        <color theme="1"/>
        <rFont val="Calibri"/>
        <family val="2"/>
        <scheme val="minor"/>
      </rPr>
      <t>log-phase</t>
    </r>
    <r>
      <rPr>
        <sz val="12"/>
        <color theme="1"/>
        <rFont val="Calibri"/>
        <family val="2"/>
        <scheme val="minor"/>
      </rPr>
      <t xml:space="preserve"> cultures.</t>
    </r>
  </si>
  <si>
    <t>Subculturing Cells </t>
  </si>
  <si>
    <t>1. Remove all medium from the flask and wash the cells once with 10 ml PBS to remove excess medium and serum. Serum contains inhibitors of trypsin.</t>
  </si>
  <si>
    <t>2. Add 2 ml of trypsin/versene (EDTA) solution to the monolayer and incubate 1-5 minutes at room temperature until cells detach. Check the cells under a microscope and confirm that most of the cells have detached. If cells are still attached, incubate a little longer until most of the cells have detached.</t>
  </si>
  <si>
    <t>3. Add 8 ml complete medium containing Geneticin and transfer the cell suspension to a 15 ml sterile, conical tube.</t>
  </si>
  <si>
    <t>4. Determine viable and total cell counts (see procedure above).</t>
  </si>
  <si>
    <t>5. Seed cells at the recommended density (see table above), diluting in pre-warmed complete medium containing 500 μg/ml Geneticin. Incubate flasks as recommended (see table above).</t>
  </si>
  <si>
    <t>6. Maintain cells as adherent monolayer cultures in complete medium containing 500 μg/ml Geneticin.</t>
  </si>
  <si>
    <t>7. For the transfection protocol, you will need 6 x 106 293FT cells for each sample</t>
  </si>
  <si>
    <t>Freezing Cells</t>
  </si>
  <si>
    <t>Note</t>
    <phoneticPr fontId="0" type="noConversion"/>
  </si>
  <si>
    <t>Freeze cells at a density of at least 3 x 106 viable cells/ml.</t>
  </si>
  <si>
    <t>Freezing medium composed of 90% complete medium and 10% DMSO. Prepare freezing medium immediately before use. Filter-sterilize the freezing medium and store at +4°C until use. Discard any remaining freezing medium after use.</t>
    <phoneticPr fontId="0" type="noConversion"/>
  </si>
  <si>
    <t>You may check the viability and recovery of frozen cells 24 hours after storing cryovials in liquid nitrogen by following the procedure outlined in Thawing Cells.</t>
    <phoneticPr fontId="0" type="noConversion"/>
  </si>
  <si>
    <t>Freezing Cells </t>
    <phoneticPr fontId="0" type="noConversion"/>
  </si>
  <si>
    <t>Keep cell on ice</t>
    <phoneticPr fontId="0" type="noConversion"/>
  </si>
  <si>
    <t>1. Culture the desired quantity of 293FT cells to 70-90% confluency.</t>
  </si>
  <si>
    <t>2. Remove the cells from the tissue culture flask(s) following Steps 1-3, Subculturing Cells.</t>
  </si>
  <si>
    <t>3. Determine viable and total cell counts and calculate the volume of freezing medium required to yield a final cell density of ≥ 3 x 106 cells/ml.</t>
  </si>
  <si>
    <t>4. Prepare the required volume of freezing medium (see above).</t>
  </si>
  <si>
    <t>5. Centrifuge the cells suspension (from Step 2) at 250 x g for 5 minutes in a table top centrifuge at room temperature. Carefully aspirate off the medium and resuspend the cell pellet in the pre-determined volume of chilled freezing medium.</t>
  </si>
  <si>
    <t>6. Dispense aliquots of this suspension (frequently mixing to maintain a homogeneous cell suspension) into cryovials according to manufacturer’s specifications.</t>
  </si>
  <si>
    <t>7. Freeze cells in an automated, controlled-rate freezing apparatus or using a manual method following standard procedures. For ideal cryopreservation, the freezing rate should be a decrease of 1°C per minute.</t>
  </si>
  <si>
    <t>8. Transfer vials to liquid nitrogen storage.</t>
  </si>
  <si>
    <t>Transfecting Cells</t>
    <phoneticPr fontId="0" type="noConversion"/>
  </si>
  <si>
    <t>Transfection methods</t>
    <phoneticPr fontId="0" type="noConversion"/>
  </si>
  <si>
    <t xml:space="preserve">The 293FT Cell Line is generally amenable to transfection using standard methods including calcium phosphate precipitation (Chen &amp; Okayama, 1987; Wigler et al., 1977), </t>
    <phoneticPr fontId="0" type="noConversion"/>
  </si>
  <si>
    <t xml:space="preserve">lipid-mediated transfection (Felgner et al., 1989; Felgner &amp; Ringold, 1989), and electroporation (Chu et al., 1987; Shigekawa &amp; Dower, 1988). </t>
  </si>
  <si>
    <t>Transient Transfection </t>
    <phoneticPr fontId="0" type="noConversion"/>
  </si>
  <si>
    <t>Make sure that cells are healthy at the time of plating. Overgrowth of cells prior to passaging can compromise their transfection efficiency.</t>
  </si>
  <si>
    <t>On the day before transfection, plate cells such that they will be at the appropriate confluence at the time of transfection (see manufacturer’s recommendations for the transfection reagent you are using).</t>
    <phoneticPr fontId="0" type="noConversion"/>
  </si>
  <si>
    <t>Example: If you are using Lipofectamine 2000 as a transfection reagent, plate cells such that they will be 90-95% confluent at the time of transfection.</t>
    <phoneticPr fontId="0" type="noConversion"/>
  </si>
  <si>
    <t>Transfect your plasmid construct into the 293FT Cell Line using the method of choice (see above).</t>
  </si>
  <si>
    <t>After transfection, add fresh growth medium containing 500 μg/ml Geneticin® and allow the cells to recover for 24-48 hours before proceeding to assay for expression of your gene of interest.</t>
  </si>
  <si>
    <t>Generating Stable Cell Lines </t>
    <phoneticPr fontId="0" type="noConversion"/>
  </si>
  <si>
    <t xml:space="preserve">293FT cells can be used as hosts to generate a stable cell line expressing your gene of interest from most plasmids. </t>
    <phoneticPr fontId="0" type="noConversion"/>
  </si>
  <si>
    <t>Remember that the introduced plasmid must contain a selection marker other than neomycin resistance. Stable cell lines can then be generated by transfection and dual selection with Geneticin® and the appropriate selection agent.</t>
  </si>
  <si>
    <t>Since 293FT cells stably express the SV40 large T antigen, we do not recommend generating stable cell lines with plasmids that contain the SV40 origin of replication.</t>
  </si>
  <si>
    <t>Materials</t>
  </si>
  <si>
    <t>0.15 M NaCl, Autoclaved</t>
  </si>
  <si>
    <r>
      <t>0.323 ng/L Linear PEI dissolved in Autoclaved diH</t>
    </r>
    <r>
      <rPr>
        <vertAlign val="subscript"/>
        <sz val="12"/>
        <color theme="1"/>
        <rFont val="Arial"/>
        <family val="2"/>
      </rPr>
      <t>2</t>
    </r>
    <r>
      <rPr>
        <sz val="12"/>
        <color theme="1"/>
        <rFont val="Arial"/>
        <family val="2"/>
      </rPr>
      <t>O</t>
    </r>
  </si>
  <si>
    <t>DNA (@50 ng/μL)</t>
  </si>
  <si>
    <t>Microcentrifuge tubes</t>
  </si>
  <si>
    <t>Pipettes/tips</t>
  </si>
  <si>
    <t>Protocol</t>
  </si>
  <si>
    <r>
      <t>1.</t>
    </r>
    <r>
      <rPr>
        <sz val="7"/>
        <color theme="1"/>
        <rFont val="Times New Roman"/>
        <family val="1"/>
      </rPr>
      <t xml:space="preserve">     </t>
    </r>
    <r>
      <rPr>
        <sz val="12"/>
        <color theme="1"/>
        <rFont val="Arial"/>
        <family val="2"/>
      </rPr>
      <t xml:space="preserve">Make mixture of all DNA plasmids to be used (for 250 ng x 4 replicates, comes out to </t>
    </r>
    <r>
      <rPr>
        <b/>
        <sz val="12"/>
        <color theme="1"/>
        <rFont val="Arial"/>
        <family val="2"/>
      </rPr>
      <t>20 μL total DNA assuming concentration of 50 ng/</t>
    </r>
    <r>
      <rPr>
        <b/>
        <sz val="12"/>
        <color theme="1"/>
        <rFont val="Calibri"/>
        <family val="2"/>
      </rPr>
      <t>μ</t>
    </r>
    <r>
      <rPr>
        <b/>
        <sz val="12"/>
        <color theme="1"/>
        <rFont val="Arial"/>
        <family val="2"/>
      </rPr>
      <t>L</t>
    </r>
    <r>
      <rPr>
        <sz val="12"/>
        <color theme="1"/>
        <rFont val="Arial"/>
        <family val="2"/>
      </rPr>
      <t>)</t>
    </r>
  </si>
  <si>
    <r>
      <t>2.</t>
    </r>
    <r>
      <rPr>
        <sz val="7"/>
        <color theme="1"/>
        <rFont val="Times New Roman"/>
        <family val="1"/>
      </rPr>
      <t xml:space="preserve">     </t>
    </r>
    <r>
      <rPr>
        <sz val="12"/>
        <color theme="1"/>
        <rFont val="Arial"/>
        <family val="2"/>
      </rPr>
      <t>To DNA mixture,</t>
    </r>
    <r>
      <rPr>
        <b/>
        <sz val="12"/>
        <color theme="1"/>
        <rFont val="Arial"/>
        <family val="2"/>
      </rPr>
      <t xml:space="preserve"> add 30 μL 0.15 M NaCl solution</t>
    </r>
  </si>
  <si>
    <r>
      <t>3.</t>
    </r>
    <r>
      <rPr>
        <sz val="7"/>
        <color theme="1"/>
        <rFont val="Times New Roman"/>
        <family val="1"/>
      </rPr>
      <t xml:space="preserve">     </t>
    </r>
    <r>
      <rPr>
        <sz val="12"/>
        <color theme="1"/>
        <rFont val="Arial"/>
        <family val="2"/>
      </rPr>
      <t xml:space="preserve">In a </t>
    </r>
    <r>
      <rPr>
        <b/>
        <sz val="12"/>
        <color theme="1"/>
        <rFont val="Arial"/>
        <family val="2"/>
      </rPr>
      <t>separate tube</t>
    </r>
    <r>
      <rPr>
        <sz val="12"/>
        <color theme="1"/>
        <rFont val="Arial"/>
        <family val="2"/>
      </rPr>
      <t xml:space="preserve">, dilute </t>
    </r>
    <r>
      <rPr>
        <b/>
        <sz val="12"/>
        <color theme="1"/>
        <rFont val="Arial"/>
        <family val="2"/>
      </rPr>
      <t>8 μL stock PEI</t>
    </r>
    <r>
      <rPr>
        <sz val="12"/>
        <color theme="1"/>
        <rFont val="Arial"/>
        <family val="2"/>
      </rPr>
      <t xml:space="preserve"> (0.323 ng/L) with </t>
    </r>
    <r>
      <rPr>
        <b/>
        <sz val="12"/>
        <color theme="1"/>
        <rFont val="Arial"/>
        <family val="2"/>
      </rPr>
      <t>42 μL 0.15 M NaCl solution</t>
    </r>
  </si>
  <si>
    <r>
      <t>4.</t>
    </r>
    <r>
      <rPr>
        <sz val="7"/>
        <color theme="1"/>
        <rFont val="Times New Roman"/>
        <family val="1"/>
      </rPr>
      <t xml:space="preserve">     </t>
    </r>
    <r>
      <rPr>
        <sz val="12"/>
        <color theme="1"/>
        <rFont val="Arial"/>
        <family val="2"/>
      </rPr>
      <t>Vortex and spin down both tubes</t>
    </r>
  </si>
  <si>
    <r>
      <t>5.</t>
    </r>
    <r>
      <rPr>
        <sz val="7"/>
        <color theme="1"/>
        <rFont val="Times New Roman"/>
        <family val="1"/>
      </rPr>
      <t xml:space="preserve">     </t>
    </r>
    <r>
      <rPr>
        <sz val="12"/>
        <color theme="1"/>
        <rFont val="Arial"/>
        <family val="2"/>
      </rPr>
      <t>Combine PEI and DNA tube contents (total 100 μL), vortex and spin down</t>
    </r>
  </si>
  <si>
    <r>
      <t>6.</t>
    </r>
    <r>
      <rPr>
        <sz val="7"/>
        <color theme="1"/>
        <rFont val="Times New Roman"/>
        <family val="1"/>
      </rPr>
      <t xml:space="preserve">     </t>
    </r>
    <r>
      <rPr>
        <sz val="12"/>
        <color theme="1"/>
        <rFont val="Arial"/>
        <family val="2"/>
      </rPr>
      <t>Let PEI/DNA mixture sit for 10 min to allow polymer/DNA complexes to form</t>
    </r>
  </si>
  <si>
    <r>
      <t>7.</t>
    </r>
    <r>
      <rPr>
        <sz val="7"/>
        <color theme="1"/>
        <rFont val="Times New Roman"/>
        <family val="1"/>
      </rPr>
      <t xml:space="preserve">     </t>
    </r>
    <r>
      <rPr>
        <sz val="12"/>
        <color theme="1"/>
        <rFont val="Arial"/>
        <family val="2"/>
      </rPr>
      <t>Add 25 μL PEI/DNA solution to each of 3 wells of the 48 well plate (if run in triplicate)</t>
    </r>
  </si>
  <si>
    <r>
      <t>−</t>
    </r>
    <r>
      <rPr>
        <sz val="7"/>
        <color theme="1"/>
        <rFont val="Times New Roman"/>
        <family val="1"/>
      </rPr>
      <t xml:space="preserve">      </t>
    </r>
    <r>
      <rPr>
        <b/>
        <sz val="12"/>
        <color theme="1"/>
        <rFont val="Arial"/>
        <family val="2"/>
      </rPr>
      <t>Protocol is designed for samples run in triplicate on a 48w plate</t>
    </r>
    <r>
      <rPr>
        <sz val="12"/>
        <color theme="1"/>
        <rFont val="Arial"/>
        <family val="2"/>
      </rPr>
      <t xml:space="preserve"> – DNA and PEI solutions should scale linearly with increases or decreases in transfection amounts</t>
    </r>
  </si>
  <si>
    <r>
      <t>−</t>
    </r>
    <r>
      <rPr>
        <sz val="7"/>
        <color theme="1"/>
        <rFont val="Times New Roman"/>
        <family val="1"/>
      </rPr>
      <t xml:space="preserve">      </t>
    </r>
    <r>
      <rPr>
        <sz val="12"/>
        <color theme="1"/>
        <rFont val="Arial"/>
        <family val="2"/>
      </rPr>
      <t>Protocol makes N=4 for use with N=3 experiments, accounting for pipetting errors</t>
    </r>
  </si>
  <si>
    <r>
      <t>−</t>
    </r>
    <r>
      <rPr>
        <sz val="7"/>
        <color theme="1"/>
        <rFont val="Times New Roman"/>
        <family val="1"/>
      </rPr>
      <t xml:space="preserve">      </t>
    </r>
    <r>
      <rPr>
        <sz val="12"/>
        <color theme="1"/>
        <rFont val="Arial"/>
        <family val="2"/>
      </rPr>
      <t>PEI/DNA mixtures should be vortexed well and allowed to sit 10 minutes before transfecting</t>
    </r>
  </si>
  <si>
    <r>
      <t>−</t>
    </r>
    <r>
      <rPr>
        <sz val="7"/>
        <color theme="1"/>
        <rFont val="Times New Roman"/>
        <family val="1"/>
      </rPr>
      <t xml:space="preserve">      </t>
    </r>
    <r>
      <rPr>
        <sz val="12"/>
        <color theme="1"/>
        <rFont val="Arial"/>
        <family val="2"/>
      </rPr>
      <t>Generally noted that letting PEI/DNA mixtures sit &gt;15 min leads to poor transfection efficiency, also reported in literature at longer times</t>
    </r>
  </si>
  <si>
    <t>Tetracycline (Tet) Inducible Expression</t>
    <phoneticPr fontId="0" type="noConversion"/>
  </si>
  <si>
    <t>Introduction</t>
    <phoneticPr fontId="0" type="noConversion"/>
  </si>
  <si>
    <t>Tet System and the Tet Response Element (TRE)</t>
  </si>
  <si>
    <t>A TRE is 7 repeats of a 19 nucleotide tetracycline operator (tetO) sequence, and is recognized by the tetracycline repressor (tetR)</t>
  </si>
  <si>
    <t>Tetracycline-dependent promoters are developed by placing a TRE upstream of a minimal promoter.</t>
  </si>
  <si>
    <t>Tet off</t>
    <phoneticPr fontId="0" type="noConversion"/>
  </si>
  <si>
    <t xml:space="preserve">The initial system Gossen and Bujard developed is known as tetracycline off: in the presence of tetracycline, expression from a tet-inducible promoter is reduced. </t>
    <phoneticPr fontId="0" type="noConversion"/>
  </si>
  <si>
    <t>To use tetracycline as a regulator of gene expression, a tetracycline-controlled transactivator (tTA) was developed. tTA was created by fusing tetR with the C-terminal domain of VP16 (virion protein 16), an essential transcriptional activation domain from HSV (herpes simplex virus).</t>
    <phoneticPr fontId="0" type="noConversion"/>
  </si>
  <si>
    <t>Tet on</t>
    <phoneticPr fontId="0" type="noConversion"/>
  </si>
  <si>
    <t xml:space="preserve">Mutating these residues led to the development of a reverse Tet repressor, or rTetR, which reversed the phenotype and created a reliance on the presence of tetracycline for induction, rather than repression. </t>
    <phoneticPr fontId="0" type="noConversion"/>
  </si>
  <si>
    <t>The new transactivator rtTA ( reverse tetracycline-controlled transactivator) was created by fusing rTetR with VP16. The tetracycline on system is also known as the rtTA-dependent system.</t>
    <phoneticPr fontId="0" type="noConversion"/>
  </si>
  <si>
    <t>Experimental Tips</t>
    <phoneticPr fontId="0" type="noConversion"/>
  </si>
  <si>
    <t>Choosing a tet system</t>
    <phoneticPr fontId="0" type="noConversion"/>
  </si>
  <si>
    <t>If your gene of interest should be active, and only turned off occasionally, using tetracycline off or tTA is more appropriate.</t>
  </si>
  <si>
    <t>If your gene of interest should be mostly inactive, and only turned on occasionally, using tetracycline on or rtTA is more appropriate.</t>
  </si>
  <si>
    <t>Basic components</t>
    <phoneticPr fontId="0" type="noConversion"/>
  </si>
  <si>
    <t>Components for a tetracycline off system are:</t>
  </si>
  <si>
    <t>Plasmid containing a tetracycline-dependent promoter upstream of your gene of interest</t>
  </si>
  <si>
    <t>tTA expression plasmid</t>
  </si>
  <si>
    <t>Components for a tetracycline on system are:</t>
  </si>
  <si>
    <t>rtTA or TetR expression plasmid</t>
  </si>
  <si>
    <t>Stable cell lines can be made that continuously express a system component (e.g. tTA).</t>
  </si>
  <si>
    <t>Use of tetracycline or a derivative</t>
    <phoneticPr fontId="0" type="noConversion"/>
  </si>
  <si>
    <t>A derivative of tetracycline, doxycycline (dox), is a preferred effector for tetracycline transregulation. Dox binds with high affinity to tTA and rtTA; thus, dox can be used in both tetracycline on and off systems.</t>
  </si>
  <si>
    <t>Dox also has good tissue distribution, low toxicity, a known half-life (24 hours), and is compararably inexpensive.</t>
  </si>
  <si>
    <t>The induction profiles for other tetracycline derivatives can be viewed inKrueger et al, 2004.</t>
  </si>
  <si>
    <t>Some cell culture sera may contain tetracycline or its derivatives which can result in unintended system induction. Investigate whether or not your serum is tetracycline-free.</t>
  </si>
  <si>
    <t>Reference:</t>
    <phoneticPr fontId="0" type="noConversion"/>
  </si>
  <si>
    <t>https://www.addgene.org/tetracycline/</t>
  </si>
  <si>
    <t>Effector Substance</t>
    <phoneticPr fontId="0" type="noConversion"/>
  </si>
  <si>
    <t>Doxycycline hydrochloride (Dox-HCl, which, like tetracycline hydrochloride, is water soluble) is the preferred effector substance, functioning efficiently with tTA (Tet-Off), rtTA (Tet-On), and rtTA2-syn1.</t>
  </si>
  <si>
    <t>A freshly made stock solution of Dox-HCl (1 mg/ml in H2O; filter-sterilized and stored at 4 °C in the dark) can be used for up to 2 weeks. Alternatively, stock solutions can be frozen in small aliquots at -20°C, for long term storage. Dox-HCl in PBS forms a precipitate after a few days. </t>
  </si>
  <si>
    <t>Furthermore, the antibiotic is binds to serum proteins thus serum-containing culture medium supplemented with Dox-HCl should not be stored for prolonged times.</t>
    <phoneticPr fontId="0" type="noConversion"/>
  </si>
  <si>
    <t>http://www.tetsystems.com/support/a-practical-guide/</t>
  </si>
  <si>
    <t>Day1</t>
    <phoneticPr fontId="0" type="noConversion"/>
  </si>
  <si>
    <t>***Note: 5PSGN media = DMEM supplemented with (v/v) 5% fetal bovine serum (5), 1% Penicillin/Streptamycin (PS), 1% L-Glutamine (G), 1% Sodium Pyruvate (N)</t>
  </si>
  <si>
    <t>1. Suction off media from 80% confluent HEK293FT cells in a T175. Add 3 mL 0.05% Trypsin to the cells, replace in the 37 C incubator and let sit ~5 minutes</t>
  </si>
  <si>
    <t>2. When cells are detached, flow in 7 mL 5PSGN media and pipette against the wall of the flask several times to collect all cells. Transfer to a 15 mL conical tube and centrifuge @ 400xg for 3 minutes</t>
  </si>
  <si>
    <t>3. Remove media from cell pellet by suctioning, replace the cap on the conical, and aggressively tap the conical tube agains the biosafety cabinet to disrupt the cell pellet. Add 10 mL 5PSGN (using Tet-Approved FBS) to the cells and mix by pipetting.</t>
  </si>
  <si>
    <r>
      <t xml:space="preserve">4. Count the cells, and aliquot 50k cells/well into desired wells of a 48w plate. Bring total volume in each well to 250 </t>
    </r>
    <r>
      <rPr>
        <sz val="12"/>
        <color theme="1"/>
        <rFont val="Calibri"/>
        <family val="2"/>
      </rPr>
      <t>μ</t>
    </r>
    <r>
      <rPr>
        <sz val="12"/>
        <color theme="1"/>
        <rFont val="Arial"/>
        <family val="2"/>
      </rPr>
      <t>L with addition of 5PSGN (Tet-Approved)</t>
    </r>
  </si>
  <si>
    <t>5. Jerk plates in a '+' sign several times to ensure cells spread evenly throughout well, and replace in the incubator at 37 C and 5% CO2</t>
  </si>
  <si>
    <t>Day2</t>
    <phoneticPr fontId="0" type="noConversion"/>
  </si>
  <si>
    <t>1. Examine cells to ensure they are spread evenly and ~70% confluent</t>
  </si>
  <si>
    <t>2. Transfect cells according the the 'PEI Transfection' tab in the biosafety cabinet</t>
  </si>
  <si>
    <t xml:space="preserve">1. Add doxycycline to all '+ Dox' samples to a final concentration of 100 ng/mL in each of the appropriate wells. </t>
  </si>
  <si>
    <t>**Note: Bead Solution: 3 drops of SpheroTech RCP-30-5A beads, 3 mL FACS running buffer/sheath fluid (PBS is fine)</t>
  </si>
  <si>
    <t>1. Examine cells to ensure they still look healthy</t>
  </si>
  <si>
    <r>
      <t xml:space="preserve">2. Remove media from cells by suctioning, and add 50 </t>
    </r>
    <r>
      <rPr>
        <sz val="12"/>
        <color theme="1"/>
        <rFont val="Calibri"/>
        <family val="2"/>
      </rPr>
      <t>μ</t>
    </r>
    <r>
      <rPr>
        <sz val="12"/>
        <color theme="1"/>
        <rFont val="Arial"/>
        <family val="2"/>
      </rPr>
      <t>L 0.05% Trypsin to each well. Replace in the 37 C incubator and let sit ~5 minutes</t>
    </r>
  </si>
  <si>
    <r>
      <t xml:space="preserve">3. While trypsinizing, add 75 </t>
    </r>
    <r>
      <rPr>
        <sz val="12"/>
        <color theme="1"/>
        <rFont val="Calibri"/>
        <family val="2"/>
      </rPr>
      <t>μ</t>
    </r>
    <r>
      <rPr>
        <sz val="12"/>
        <color theme="1"/>
        <rFont val="Arial"/>
        <family val="2"/>
      </rPr>
      <t>L 5PSGN to all appropriate wells of a 96 well plate</t>
    </r>
  </si>
  <si>
    <t>4. When cells are detached,  add 75 μL 5PSGN to neutralize the trypsin. Thoroughly mix cells by pipetting aggressively up and down 4-6x, creating a single cell suspension.</t>
  </si>
  <si>
    <t>5. Transfer 125 μL of cell suspension to appropriate wells of the 96 well plate</t>
  </si>
  <si>
    <t>6. Prior to running cells on flow cytometer, run 100 μL bead solution for calibration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</si>
</sst>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5">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
      <sz val="12"/>
      <color theme="1"/>
      <name val="Arial"/>
      <family val="2"/>
    </font>
    <font>
      <b/>
      <sz val="12"/>
      <color theme="1"/>
      <name val="Arial"/>
      <family val="2"/>
    </font>
    <font>
      <sz val="12"/>
      <color theme="1"/>
      <name val="Wingdings"/>
      <charset val="2"/>
    </font>
    <font>
      <b/>
      <sz val="12"/>
      <color theme="0" tint="-0.499984740745262"/>
      <name val="Arial"/>
      <family val="2"/>
    </font>
    <font>
      <b/>
      <sz val="12"/>
      <color rgb="FF0070C0"/>
      <name val="Arial"/>
      <family val="2"/>
    </font>
    <font>
      <sz val="12"/>
      <color theme="1"/>
      <name val="Calibri"/>
      <family val="2"/>
    </font>
    <font>
      <b/>
      <sz val="12"/>
      <color rgb="FF00B050"/>
      <name val="Arial"/>
      <family val="2"/>
    </font>
    <font>
      <b/>
      <sz val="12"/>
      <color rgb="FFFF0000"/>
      <name val="Arial"/>
      <family val="2"/>
    </font>
    <font>
      <sz val="12"/>
      <color theme="0"/>
      <name val="Arial"/>
      <family val="2"/>
    </font>
    <font>
      <sz val="12"/>
      <color theme="1"/>
      <name val="Calibri"/>
      <family val="2"/>
      <scheme val="minor"/>
    </font>
    <font>
      <sz val="12"/>
      <color theme="1"/>
      <name val="Arial "/>
      <family val="2"/>
      <charset val="134"/>
    </font>
    <font>
      <u/>
      <sz val="12"/>
      <color theme="10"/>
      <name val="Calibri"/>
      <family val="2"/>
      <scheme val="minor"/>
    </font>
    <font>
      <sz val="11"/>
      <color rgb="FF006100"/>
      <name val="Calibri"/>
      <family val="2"/>
      <charset val="134"/>
      <scheme val="minor"/>
    </font>
    <font>
      <sz val="11"/>
      <color rgb="FF9C6500"/>
      <name val="Calibri"/>
      <family val="2"/>
      <charset val="134"/>
      <scheme val="minor"/>
    </font>
    <font>
      <sz val="11"/>
      <color rgb="FF9C0006"/>
      <name val="Calibri"/>
      <family val="2"/>
      <charset val="134"/>
      <scheme val="minor"/>
    </font>
    <font>
      <b/>
      <u/>
      <sz val="12"/>
      <color theme="1"/>
      <name val="Arial"/>
      <family val="2"/>
    </font>
    <font>
      <vertAlign val="subscript"/>
      <sz val="12"/>
      <color theme="1"/>
      <name val="Arial"/>
      <family val="2"/>
    </font>
    <font>
      <sz val="7"/>
      <color theme="1"/>
      <name val="Times New Roman"/>
      <family val="1"/>
    </font>
    <font>
      <b/>
      <sz val="12"/>
      <color theme="1"/>
      <name val="Calibri"/>
      <family val="2"/>
    </font>
    <font>
      <sz val="11"/>
      <color theme="0"/>
      <name val="Calibri"/>
      <family val="2"/>
      <charset val="134"/>
      <scheme val="minor"/>
    </font>
  </fonts>
  <fills count="1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39997558519241921"/>
        <bgColor indexed="65"/>
      </patternFill>
    </fill>
    <fill>
      <patternFill patternType="solid">
        <fgColor theme="1" tint="4.9989318521683403E-2"/>
        <bgColor indexed="64"/>
      </patternFill>
    </fill>
    <fill>
      <patternFill patternType="solid">
        <fgColor theme="2" tint="-9.9978637043366805E-2"/>
        <bgColor indexed="64"/>
      </patternFill>
    </fill>
  </fills>
  <borders count="7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style="medium">
        <color indexed="64"/>
      </left>
      <right/>
      <top/>
      <bottom/>
      <diagonal/>
    </border>
    <border>
      <left/>
      <right style="medium">
        <color indexed="64"/>
      </right>
      <top/>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right/>
      <top style="thin">
        <color auto="1"/>
      </top>
      <bottom/>
      <diagonal/>
    </border>
    <border>
      <left/>
      <right/>
      <top style="thick">
        <color auto="1"/>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s>
  <cellStyleXfs count="6">
    <xf numFmtId="0" fontId="0" fillId="0" borderId="0"/>
    <xf numFmtId="0" fontId="46" fillId="0" borderId="0" applyNumberFormat="0" applyFill="0" applyBorder="0" applyAlignment="0" applyProtection="0"/>
    <xf numFmtId="0" fontId="47" fillId="12" borderId="0" applyNumberFormat="0" applyBorder="0" applyAlignment="0" applyProtection="0">
      <alignment vertical="center"/>
    </xf>
    <xf numFmtId="0" fontId="48" fillId="14" borderId="0" applyNumberFormat="0" applyBorder="0" applyAlignment="0" applyProtection="0">
      <alignment vertical="center"/>
    </xf>
    <xf numFmtId="0" fontId="49" fillId="13" borderId="0" applyNumberFormat="0" applyBorder="0" applyAlignment="0" applyProtection="0">
      <alignment vertical="center"/>
    </xf>
    <xf numFmtId="0" fontId="54" fillId="15" borderId="0" applyNumberFormat="0" applyBorder="0" applyAlignment="0" applyProtection="0">
      <alignment vertical="center"/>
    </xf>
  </cellStyleXfs>
  <cellXfs count="461">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7"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7" fillId="9" borderId="6" xfId="0" applyFont="1" applyFill="1" applyBorder="1" applyProtection="1">
      <protection locked="0"/>
    </xf>
    <xf numFmtId="0" fontId="18" fillId="8" borderId="18" xfId="0" applyFont="1" applyFill="1" applyBorder="1" applyAlignment="1" applyProtection="1">
      <alignment horizontal="left" vertical="center"/>
      <protection locked="0"/>
    </xf>
    <xf numFmtId="0" fontId="18" fillId="8" borderId="19" xfId="0" applyFont="1" applyFill="1" applyBorder="1" applyAlignment="1" applyProtection="1">
      <alignment vertical="center" wrapText="1"/>
      <protection locked="0"/>
    </xf>
    <xf numFmtId="0" fontId="18" fillId="8" borderId="19" xfId="0" applyFont="1" applyFill="1" applyBorder="1" applyAlignment="1" applyProtection="1">
      <alignment horizontal="center" vertical="center" wrapText="1"/>
      <protection locked="0"/>
    </xf>
    <xf numFmtId="0" fontId="17" fillId="9" borderId="21" xfId="0" applyFont="1" applyFill="1" applyBorder="1" applyProtection="1">
      <protection locked="0"/>
    </xf>
    <xf numFmtId="0" fontId="17"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7"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8" borderId="4" xfId="0" applyFont="1" applyFill="1" applyBorder="1" applyAlignment="1" applyProtection="1">
      <alignment horizontal="center"/>
      <protection locked="0"/>
    </xf>
    <xf numFmtId="0" fontId="17"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7"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19" fillId="0" borderId="9" xfId="0" applyFont="1" applyFill="1" applyBorder="1" applyAlignment="1" applyProtection="1">
      <alignment horizontal="center" vertical="center" wrapText="1"/>
      <protection locked="0"/>
    </xf>
    <xf numFmtId="0" fontId="27" fillId="0" borderId="7" xfId="0" applyFont="1" applyFill="1" applyBorder="1" applyAlignment="1" applyProtection="1">
      <alignment horizontal="center" vertical="center" wrapText="1"/>
      <protection locked="0"/>
    </xf>
    <xf numFmtId="0" fontId="15" fillId="0" borderId="12" xfId="0" applyFont="1" applyFill="1" applyBorder="1" applyAlignment="1" applyProtection="1">
      <alignment horizontal="center" vertical="center" wrapText="1"/>
      <protection locked="0"/>
    </xf>
    <xf numFmtId="0" fontId="15" fillId="4" borderId="10" xfId="0" applyFont="1" applyFill="1" applyBorder="1" applyAlignment="1" applyProtection="1">
      <alignment horizontal="center" vertical="center" wrapText="1"/>
      <protection locked="0"/>
    </xf>
    <xf numFmtId="0" fontId="21" fillId="4" borderId="10" xfId="0" applyFont="1" applyFill="1" applyBorder="1" applyAlignment="1" applyProtection="1">
      <alignment horizontal="center" vertical="center" wrapText="1"/>
      <protection locked="0"/>
    </xf>
    <xf numFmtId="0" fontId="0" fillId="0" borderId="0" xfId="0" applyProtection="1">
      <protection locked="0"/>
    </xf>
    <xf numFmtId="0" fontId="25" fillId="0" borderId="0" xfId="0" applyFont="1" applyFill="1" applyBorder="1" applyAlignment="1" applyProtection="1">
      <protection locked="0"/>
    </xf>
    <xf numFmtId="0" fontId="17" fillId="0" borderId="0" xfId="0" applyFont="1" applyFill="1" applyBorder="1" applyAlignment="1" applyProtection="1">
      <alignment vertical="center"/>
      <protection locked="0"/>
    </xf>
    <xf numFmtId="0" fontId="0" fillId="0" borderId="0" xfId="0" applyBorder="1" applyProtection="1">
      <protection locked="0"/>
    </xf>
    <xf numFmtId="0" fontId="9" fillId="4" borderId="4" xfId="0" applyFont="1" applyFill="1" applyBorder="1" applyAlignment="1" applyProtection="1">
      <alignment horizontal="center" vertical="center" wrapText="1"/>
      <protection locked="0"/>
    </xf>
    <xf numFmtId="0" fontId="13" fillId="4" borderId="4" xfId="0" applyFont="1" applyFill="1" applyBorder="1" applyAlignment="1" applyProtection="1">
      <alignment horizontal="center" vertical="center" wrapText="1"/>
      <protection locked="0"/>
    </xf>
    <xf numFmtId="0" fontId="21" fillId="0" borderId="0" xfId="0" applyFont="1" applyFill="1" applyBorder="1" applyAlignment="1" applyProtection="1">
      <alignment vertical="center"/>
      <protection locked="0"/>
    </xf>
    <xf numFmtId="49" fontId="18" fillId="6" borderId="4" xfId="0" applyNumberFormat="1" applyFont="1" applyFill="1" applyBorder="1" applyAlignment="1" applyProtection="1">
      <alignment horizontal="center" vertical="center" wrapText="1"/>
      <protection locked="0"/>
    </xf>
    <xf numFmtId="0" fontId="0" fillId="0" borderId="44" xfId="0" applyBorder="1" applyProtection="1">
      <protection locked="0"/>
    </xf>
    <xf numFmtId="0" fontId="0" fillId="0" borderId="44" xfId="0" applyBorder="1" applyAlignment="1" applyProtection="1">
      <alignment horizontal="center" vertical="center"/>
      <protection locked="0"/>
    </xf>
    <xf numFmtId="0" fontId="8" fillId="4" borderId="10" xfId="0" applyFont="1" applyFill="1" applyBorder="1" applyAlignment="1" applyProtection="1">
      <alignment horizontal="center" vertical="center" wrapText="1"/>
      <protection locked="0"/>
    </xf>
    <xf numFmtId="0" fontId="17" fillId="0" borderId="4" xfId="0" applyFont="1" applyBorder="1" applyAlignment="1" applyProtection="1">
      <alignment horizontal="center" vertical="center"/>
      <protection locked="0"/>
    </xf>
    <xf numFmtId="0" fontId="21" fillId="4" borderId="4" xfId="0" applyFont="1" applyFill="1" applyBorder="1" applyAlignment="1" applyProtection="1">
      <alignment horizontal="center" vertical="center" wrapText="1"/>
      <protection locked="0"/>
    </xf>
    <xf numFmtId="0" fontId="21"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10" xfId="0" applyFont="1" applyBorder="1" applyAlignment="1" applyProtection="1">
      <alignment horizontal="center" vertical="center"/>
      <protection locked="0"/>
    </xf>
    <xf numFmtId="0" fontId="21" fillId="9" borderId="35" xfId="0" applyFont="1" applyFill="1" applyBorder="1" applyAlignment="1" applyProtection="1">
      <alignment horizontal="center" vertical="center"/>
      <protection locked="0"/>
    </xf>
    <xf numFmtId="0" fontId="21" fillId="9" borderId="31" xfId="0" applyFont="1" applyFill="1" applyBorder="1" applyAlignment="1" applyProtection="1">
      <alignment horizontal="center" vertical="center"/>
      <protection locked="0"/>
    </xf>
    <xf numFmtId="0" fontId="21" fillId="4" borderId="12" xfId="0" applyFont="1" applyFill="1" applyBorder="1" applyAlignment="1" applyProtection="1">
      <alignment horizontal="center" vertical="center" wrapText="1"/>
      <protection locked="0"/>
    </xf>
    <xf numFmtId="0" fontId="21" fillId="9" borderId="41" xfId="0" applyFont="1" applyFill="1" applyBorder="1" applyAlignment="1" applyProtection="1">
      <alignment horizontal="center" vertical="center"/>
      <protection locked="0"/>
    </xf>
    <xf numFmtId="0" fontId="20" fillId="3" borderId="7" xfId="0" applyFont="1" applyFill="1" applyBorder="1" applyAlignment="1" applyProtection="1">
      <alignment horizontal="center" vertical="center"/>
      <protection locked="0"/>
    </xf>
    <xf numFmtId="0" fontId="26" fillId="0" borderId="7"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0" fontId="21" fillId="4" borderId="12" xfId="0" applyFont="1" applyFill="1" applyBorder="1" applyAlignment="1" applyProtection="1">
      <alignment horizontal="center" vertical="center"/>
      <protection locked="0"/>
    </xf>
    <xf numFmtId="0" fontId="22" fillId="3" borderId="10"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8" fillId="0" borderId="5" xfId="0" applyFont="1" applyFill="1" applyBorder="1" applyAlignment="1" applyProtection="1">
      <alignment horizontal="center" vertical="center" wrapText="1"/>
      <protection locked="0"/>
    </xf>
    <xf numFmtId="0" fontId="20" fillId="0" borderId="27" xfId="0" applyFont="1" applyFill="1" applyBorder="1" applyAlignment="1" applyProtection="1">
      <alignment horizontal="center" vertical="center"/>
      <protection locked="0"/>
    </xf>
    <xf numFmtId="0" fontId="27" fillId="0" borderId="8" xfId="0" applyFont="1" applyFill="1" applyBorder="1" applyAlignment="1" applyProtection="1">
      <alignment horizontal="center" vertical="center"/>
      <protection locked="0"/>
    </xf>
    <xf numFmtId="0" fontId="21" fillId="4" borderId="4"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21" fillId="4" borderId="10" xfId="0" applyFont="1" applyFill="1" applyBorder="1" applyAlignment="1" applyProtection="1">
      <alignment horizontal="center" vertical="center"/>
      <protection locked="0"/>
    </xf>
    <xf numFmtId="0" fontId="21" fillId="4" borderId="13" xfId="0" applyFont="1" applyFill="1" applyBorder="1" applyAlignment="1" applyProtection="1">
      <alignment horizontal="center" vertical="center"/>
      <protection locked="0"/>
    </xf>
    <xf numFmtId="0" fontId="26" fillId="0" borderId="0" xfId="0" applyFont="1" applyAlignment="1" applyProtection="1">
      <alignment horizontal="center" vertical="center"/>
      <protection locked="0"/>
    </xf>
    <xf numFmtId="0" fontId="21" fillId="5" borderId="12" xfId="0" applyFont="1" applyFill="1" applyBorder="1" applyAlignment="1" applyProtection="1">
      <alignment horizontal="center" vertical="center"/>
      <protection locked="0"/>
    </xf>
    <xf numFmtId="0" fontId="28" fillId="0" borderId="11" xfId="0" applyFont="1" applyFill="1" applyBorder="1" applyAlignment="1" applyProtection="1">
      <alignment horizontal="center" vertical="center" wrapText="1"/>
      <protection locked="0"/>
    </xf>
    <xf numFmtId="0" fontId="10" fillId="4" borderId="10" xfId="0" applyFont="1" applyFill="1" applyBorder="1" applyAlignment="1" applyProtection="1">
      <alignment horizontal="center" vertical="center" wrapText="1"/>
      <protection locked="0"/>
    </xf>
    <xf numFmtId="0" fontId="16" fillId="4" borderId="10" xfId="0" applyFont="1" applyFill="1" applyBorder="1" applyAlignment="1" applyProtection="1">
      <alignment horizontal="center" vertical="center" wrapText="1"/>
      <protection locked="0"/>
    </xf>
    <xf numFmtId="0" fontId="21" fillId="9" borderId="34" xfId="0" applyFont="1" applyFill="1" applyBorder="1" applyAlignment="1" applyProtection="1">
      <alignment horizontal="center" vertical="center" wrapText="1"/>
    </xf>
    <xf numFmtId="0" fontId="21" fillId="9" borderId="35" xfId="0" applyFont="1" applyFill="1" applyBorder="1" applyAlignment="1" applyProtection="1">
      <alignment horizontal="center" vertical="center"/>
    </xf>
    <xf numFmtId="0" fontId="27" fillId="9" borderId="35" xfId="0" applyFont="1" applyFill="1" applyBorder="1" applyAlignment="1" applyProtection="1">
      <alignment horizontal="center" vertical="center"/>
    </xf>
    <xf numFmtId="0" fontId="21" fillId="9" borderId="35" xfId="0" applyFont="1" applyFill="1" applyBorder="1" applyAlignment="1" applyProtection="1">
      <alignment horizontal="center" vertical="center" wrapText="1"/>
    </xf>
    <xf numFmtId="0" fontId="27" fillId="0" borderId="9" xfId="0" applyFont="1" applyFill="1" applyBorder="1" applyAlignment="1" applyProtection="1">
      <alignment horizontal="center" vertical="center"/>
    </xf>
    <xf numFmtId="0" fontId="27" fillId="0" borderId="7" xfId="0" applyFont="1" applyFill="1" applyBorder="1" applyAlignment="1" applyProtection="1">
      <alignment horizontal="center" vertical="center"/>
    </xf>
    <xf numFmtId="0" fontId="27" fillId="3" borderId="7" xfId="0" applyFont="1" applyFill="1" applyBorder="1" applyAlignment="1" applyProtection="1">
      <alignment horizontal="center" vertical="center" wrapText="1"/>
    </xf>
    <xf numFmtId="0" fontId="19" fillId="0" borderId="7" xfId="0" applyFont="1" applyBorder="1" applyAlignment="1" applyProtection="1">
      <alignment horizontal="center" vertical="center" wrapText="1"/>
    </xf>
    <xf numFmtId="0" fontId="27" fillId="9" borderId="34" xfId="0" applyFont="1" applyFill="1" applyBorder="1" applyAlignment="1" applyProtection="1">
      <alignment horizontal="center" vertical="center"/>
    </xf>
    <xf numFmtId="0" fontId="27" fillId="0" borderId="9" xfId="0" applyFont="1" applyFill="1" applyBorder="1" applyAlignment="1" applyProtection="1">
      <alignment horizontal="center" vertical="center" wrapText="1"/>
    </xf>
    <xf numFmtId="0" fontId="21" fillId="9" borderId="34" xfId="0" applyFont="1" applyFill="1" applyBorder="1" applyAlignment="1" applyProtection="1">
      <alignment horizontal="center" vertical="center"/>
    </xf>
    <xf numFmtId="0" fontId="27" fillId="9" borderId="35"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7" fillId="0" borderId="7" xfId="0" applyFont="1" applyFill="1" applyBorder="1" applyAlignment="1" applyProtection="1">
      <alignment horizontal="center" vertical="center" wrapText="1"/>
    </xf>
    <xf numFmtId="0" fontId="27" fillId="0" borderId="7" xfId="0" applyFont="1" applyBorder="1" applyAlignment="1" applyProtection="1">
      <alignment horizontal="center" vertical="center" wrapText="1"/>
    </xf>
    <xf numFmtId="0" fontId="19" fillId="0" borderId="8" xfId="0" applyFont="1" applyFill="1" applyBorder="1" applyAlignment="1" applyProtection="1">
      <alignment horizontal="center" vertical="center" wrapText="1"/>
    </xf>
    <xf numFmtId="0" fontId="27" fillId="0" borderId="4" xfId="0" applyFont="1" applyFill="1" applyBorder="1" applyAlignment="1" applyProtection="1">
      <alignment horizontal="center" vertical="center" wrapText="1"/>
    </xf>
    <xf numFmtId="0" fontId="21" fillId="9" borderId="4" xfId="0" applyFont="1" applyFill="1" applyBorder="1" applyAlignment="1" applyProtection="1">
      <alignment horizontal="center" vertical="center" wrapText="1"/>
    </xf>
    <xf numFmtId="0" fontId="27" fillId="7" borderId="4" xfId="0" applyFont="1" applyFill="1" applyBorder="1" applyAlignment="1" applyProtection="1">
      <alignment horizontal="center" vertical="center" wrapText="1"/>
    </xf>
    <xf numFmtId="0" fontId="21" fillId="9" borderId="36" xfId="0" applyFont="1" applyFill="1" applyBorder="1" applyAlignment="1" applyProtection="1">
      <alignment horizontal="center" vertical="center" wrapText="1"/>
    </xf>
    <xf numFmtId="0" fontId="0" fillId="0" borderId="0" xfId="0" applyFill="1" applyBorder="1" applyProtection="1">
      <protection locked="0"/>
    </xf>
    <xf numFmtId="0" fontId="12"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7" fillId="0" borderId="4" xfId="0" applyFont="1" applyBorder="1" applyAlignment="1" applyProtection="1">
      <alignment horizontal="center" vertical="center"/>
      <protection locked="0"/>
    </xf>
    <xf numFmtId="0" fontId="21" fillId="9" borderId="5" xfId="0" applyFont="1" applyFill="1" applyBorder="1" applyAlignment="1" applyProtection="1">
      <alignment horizontal="center" vertical="center" wrapText="1"/>
    </xf>
    <xf numFmtId="0" fontId="21" fillId="9" borderId="7" xfId="0" applyFont="1" applyFill="1" applyBorder="1" applyAlignment="1" applyProtection="1">
      <alignment horizontal="center" vertical="center"/>
    </xf>
    <xf numFmtId="0" fontId="27" fillId="9" borderId="7" xfId="0" applyFont="1" applyFill="1" applyBorder="1" applyAlignment="1" applyProtection="1">
      <alignment horizontal="center" vertical="center"/>
    </xf>
    <xf numFmtId="0" fontId="27" fillId="9" borderId="5" xfId="0" applyFont="1" applyFill="1" applyBorder="1" applyAlignment="1" applyProtection="1">
      <alignment horizontal="center" vertical="center"/>
    </xf>
    <xf numFmtId="0" fontId="27" fillId="9" borderId="5" xfId="0" applyFont="1" applyFill="1" applyBorder="1" applyAlignment="1" applyProtection="1">
      <alignment horizontal="center" vertical="center" wrapText="1"/>
    </xf>
    <xf numFmtId="0" fontId="21" fillId="9" borderId="7" xfId="0" applyFont="1" applyFill="1" applyBorder="1" applyAlignment="1" applyProtection="1">
      <alignment horizontal="center" vertical="center"/>
      <protection locked="0"/>
    </xf>
    <xf numFmtId="0" fontId="21" fillId="9" borderId="27" xfId="0" applyFont="1" applyFill="1" applyBorder="1" applyAlignment="1" applyProtection="1">
      <alignment horizontal="center" vertical="center"/>
      <protection locked="0"/>
    </xf>
    <xf numFmtId="0" fontId="21" fillId="9" borderId="9" xfId="0" applyFont="1" applyFill="1" applyBorder="1" applyAlignment="1" applyProtection="1">
      <alignment horizontal="center" vertical="center" wrapText="1"/>
    </xf>
    <xf numFmtId="0" fontId="21" fillId="4" borderId="4" xfId="0" applyFont="1" applyFill="1" applyBorder="1" applyAlignment="1" applyProtection="1">
      <alignment horizontal="center" vertical="center" wrapText="1"/>
      <protection locked="0"/>
    </xf>
    <xf numFmtId="0" fontId="0" fillId="0" borderId="45" xfId="0" applyFont="1" applyBorder="1" applyProtection="1">
      <protection locked="0"/>
    </xf>
    <xf numFmtId="0" fontId="0" fillId="0" borderId="40" xfId="0" applyFont="1" applyBorder="1" applyProtection="1">
      <protection locked="0"/>
    </xf>
    <xf numFmtId="0" fontId="0" fillId="0" borderId="41" xfId="0" applyBorder="1" applyProtection="1"/>
    <xf numFmtId="0" fontId="0" fillId="0" borderId="3" xfId="0" applyBorder="1" applyProtection="1"/>
    <xf numFmtId="0" fontId="6" fillId="4" borderId="10" xfId="0"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4" borderId="10"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0" fontId="21" fillId="9" borderId="14" xfId="0" applyFont="1" applyFill="1" applyBorder="1" applyAlignment="1" applyProtection="1">
      <alignment horizontal="center" vertical="center"/>
      <protection locked="0"/>
    </xf>
    <xf numFmtId="0" fontId="19" fillId="0" borderId="4" xfId="0" applyFont="1" applyFill="1" applyBorder="1" applyAlignment="1" applyProtection="1">
      <alignment horizontal="center" vertical="center" wrapText="1"/>
    </xf>
    <xf numFmtId="0" fontId="32" fillId="0" borderId="0" xfId="0" applyFont="1"/>
    <xf numFmtId="0" fontId="33" fillId="0" borderId="0" xfId="0" applyFont="1"/>
    <xf numFmtId="0" fontId="31" fillId="0" borderId="0" xfId="0" applyFont="1"/>
    <xf numFmtId="0" fontId="21" fillId="9" borderId="35" xfId="0" applyFont="1" applyFill="1" applyBorder="1" applyAlignment="1" applyProtection="1">
      <alignment horizontal="center" vertical="center" wrapText="1"/>
      <protection locked="0"/>
    </xf>
    <xf numFmtId="0" fontId="21" fillId="9" borderId="34" xfId="0" applyFont="1" applyFill="1" applyBorder="1" applyAlignment="1" applyProtection="1">
      <alignment horizontal="center" vertical="center" wrapText="1"/>
      <protection locked="0"/>
    </xf>
    <xf numFmtId="0" fontId="27" fillId="9" borderId="35" xfId="0" applyFont="1" applyFill="1" applyBorder="1" applyAlignment="1" applyProtection="1">
      <alignment horizontal="center" vertical="center" wrapText="1"/>
      <protection locked="0"/>
    </xf>
    <xf numFmtId="0" fontId="27" fillId="9" borderId="35" xfId="0" applyFont="1" applyFill="1" applyBorder="1" applyAlignment="1" applyProtection="1">
      <alignment horizontal="center" vertical="center"/>
      <protection locked="0"/>
    </xf>
    <xf numFmtId="0" fontId="19" fillId="0" borderId="27" xfId="0" applyFont="1" applyFill="1" applyBorder="1" applyAlignment="1" applyProtection="1">
      <alignment horizontal="center" vertical="center" wrapText="1"/>
      <protection locked="0"/>
    </xf>
    <xf numFmtId="0" fontId="15" fillId="0" borderId="26" xfId="0" applyFont="1" applyFill="1" applyBorder="1" applyAlignment="1" applyProtection="1">
      <alignment horizontal="center" vertical="center" wrapText="1"/>
      <protection locked="0"/>
    </xf>
    <xf numFmtId="0" fontId="27" fillId="0" borderId="46" xfId="0" applyFont="1" applyFill="1" applyBorder="1" applyAlignment="1" applyProtection="1">
      <alignment horizontal="center" vertical="center" wrapText="1"/>
    </xf>
    <xf numFmtId="0" fontId="21" fillId="4" borderId="26" xfId="0" applyFont="1" applyFill="1" applyBorder="1" applyAlignment="1" applyProtection="1">
      <alignment horizontal="center" vertical="center" wrapText="1"/>
      <protection locked="0"/>
    </xf>
    <xf numFmtId="0" fontId="21" fillId="9" borderId="31" xfId="0" applyFont="1" applyFill="1" applyBorder="1" applyAlignment="1" applyProtection="1">
      <alignment horizontal="center" vertical="center" wrapText="1"/>
      <protection locked="0"/>
    </xf>
    <xf numFmtId="0" fontId="34" fillId="0" borderId="0" xfId="0" applyFont="1"/>
    <xf numFmtId="0" fontId="0" fillId="0" borderId="45" xfId="0" applyFont="1" applyFill="1" applyBorder="1" applyAlignment="1" applyProtection="1">
      <alignment horizontal="center" vertical="center"/>
      <protection locked="0"/>
    </xf>
    <xf numFmtId="0" fontId="18" fillId="8" borderId="20" xfId="0" applyFont="1" applyFill="1" applyBorder="1" applyAlignment="1" applyProtection="1">
      <alignment horizontal="center" vertical="center"/>
      <protection locked="0"/>
    </xf>
    <xf numFmtId="0" fontId="17" fillId="9" borderId="23" xfId="0" applyFont="1" applyFill="1" applyBorder="1" applyAlignment="1" applyProtection="1">
      <alignment horizontal="center" vertical="center" wrapText="1"/>
      <protection locked="0"/>
    </xf>
    <xf numFmtId="0" fontId="0" fillId="0" borderId="49" xfId="0" applyBorder="1" applyProtection="1">
      <protection locked="0"/>
    </xf>
    <xf numFmtId="0" fontId="17" fillId="9" borderId="44" xfId="0" applyFont="1" applyFill="1" applyBorder="1" applyProtection="1">
      <protection locked="0"/>
    </xf>
    <xf numFmtId="0" fontId="17" fillId="9" borderId="0" xfId="0" applyFont="1" applyFill="1" applyBorder="1" applyProtection="1">
      <protection locked="0"/>
    </xf>
    <xf numFmtId="0" fontId="17" fillId="9" borderId="50" xfId="0" applyFont="1" applyFill="1" applyBorder="1" applyAlignment="1" applyProtection="1">
      <alignment horizontal="center"/>
    </xf>
    <xf numFmtId="0" fontId="0" fillId="2" borderId="50" xfId="0" applyFill="1" applyBorder="1" applyAlignment="1" applyProtection="1">
      <alignment horizontal="center"/>
    </xf>
    <xf numFmtId="0" fontId="4" fillId="4" borderId="10" xfId="0" applyFont="1" applyFill="1" applyBorder="1" applyAlignment="1" applyProtection="1">
      <alignment horizontal="center" vertical="center" wrapText="1"/>
      <protection locked="0"/>
    </xf>
    <xf numFmtId="0" fontId="3" fillId="4" borderId="10" xfId="0" applyFont="1" applyFill="1" applyBorder="1" applyAlignment="1" applyProtection="1">
      <alignment horizontal="center" vertical="center"/>
      <protection locked="0"/>
    </xf>
    <xf numFmtId="0" fontId="21" fillId="4" borderId="4" xfId="0" applyFont="1" applyFill="1" applyBorder="1" applyAlignment="1">
      <alignment horizontal="center" vertical="center"/>
    </xf>
    <xf numFmtId="0" fontId="0" fillId="0" borderId="5" xfId="0" applyBorder="1" applyProtection="1"/>
    <xf numFmtId="0" fontId="0" fillId="0" borderId="7" xfId="0" applyBorder="1" applyProtection="1">
      <protection locked="0"/>
    </xf>
    <xf numFmtId="0" fontId="0" fillId="0" borderId="14" xfId="0" applyBorder="1" applyProtection="1">
      <protection locked="0"/>
    </xf>
    <xf numFmtId="49" fontId="18" fillId="6" borderId="9" xfId="0" applyNumberFormat="1" applyFont="1" applyFill="1" applyBorder="1" applyAlignment="1" applyProtection="1">
      <alignment horizontal="center" vertical="center" wrapText="1"/>
      <protection locked="0"/>
    </xf>
    <xf numFmtId="49" fontId="18" fillId="6" borderId="7" xfId="0" applyNumberFormat="1" applyFont="1" applyFill="1" applyBorder="1" applyAlignment="1" applyProtection="1">
      <alignment horizontal="center" vertical="center" wrapText="1"/>
      <protection locked="0"/>
    </xf>
    <xf numFmtId="164" fontId="0" fillId="4" borderId="4" xfId="0" applyNumberFormat="1" applyFont="1" applyFill="1" applyBorder="1" applyAlignment="1" applyProtection="1">
      <alignment horizontal="center" vertical="center"/>
      <protection locked="0"/>
    </xf>
    <xf numFmtId="0" fontId="0" fillId="4" borderId="4" xfId="0" quotePrefix="1" applyFont="1" applyFill="1" applyBorder="1" applyAlignment="1" applyProtection="1">
      <alignment horizontal="center" vertical="center"/>
      <protection locked="0"/>
    </xf>
    <xf numFmtId="0" fontId="17" fillId="0" borderId="24" xfId="0" applyFont="1" applyFill="1" applyBorder="1" applyAlignment="1" applyProtection="1">
      <alignment horizontal="center" vertical="center"/>
      <protection locked="0"/>
    </xf>
    <xf numFmtId="0" fontId="0" fillId="10" borderId="11" xfId="0" applyFont="1" applyFill="1" applyBorder="1" applyAlignment="1" applyProtection="1">
      <alignment horizontal="center" vertical="center"/>
      <protection locked="0"/>
    </xf>
    <xf numFmtId="0" fontId="0" fillId="10" borderId="25" xfId="0" applyFont="1" applyFill="1" applyBorder="1" applyAlignment="1" applyProtection="1">
      <alignment horizontal="center" vertical="center"/>
      <protection locked="0"/>
    </xf>
    <xf numFmtId="0" fontId="0" fillId="0" borderId="48" xfId="0" applyFont="1" applyBorder="1" applyProtection="1">
      <protection locked="0"/>
    </xf>
    <xf numFmtId="0" fontId="19" fillId="9" borderId="34" xfId="0" applyFont="1" applyFill="1" applyBorder="1" applyAlignment="1" applyProtection="1">
      <alignment horizontal="center" vertical="center"/>
      <protection locked="0"/>
    </xf>
    <xf numFmtId="0" fontId="7" fillId="9" borderId="35" xfId="0" applyFont="1" applyFill="1" applyBorder="1" applyAlignment="1" applyProtection="1">
      <alignment horizontal="center" vertical="center" wrapText="1"/>
      <protection locked="0"/>
    </xf>
    <xf numFmtId="0" fontId="11" fillId="9" borderId="36" xfId="0" applyFont="1" applyFill="1" applyBorder="1" applyAlignment="1" applyProtection="1">
      <alignment horizontal="center" vertical="center" wrapText="1"/>
      <protection locked="0"/>
    </xf>
    <xf numFmtId="49" fontId="18" fillId="6" borderId="11" xfId="0" applyNumberFormat="1" applyFont="1" applyFill="1" applyBorder="1" applyAlignment="1" applyProtection="1">
      <alignment horizontal="center" vertical="center" wrapText="1"/>
      <protection locked="0"/>
    </xf>
    <xf numFmtId="0" fontId="0" fillId="0" borderId="35" xfId="0" applyBorder="1" applyProtection="1"/>
    <xf numFmtId="0" fontId="0" fillId="0" borderId="36" xfId="0" applyBorder="1" applyProtection="1"/>
    <xf numFmtId="0" fontId="0" fillId="0" borderId="7" xfId="0" applyBorder="1" applyProtection="1"/>
    <xf numFmtId="0" fontId="0" fillId="0" borderId="14" xfId="0" applyBorder="1" applyProtection="1"/>
    <xf numFmtId="0" fontId="0" fillId="0" borderId="4" xfId="0" applyBorder="1" applyProtection="1"/>
    <xf numFmtId="0" fontId="0" fillId="0" borderId="11" xfId="0" applyBorder="1" applyProtection="1"/>
    <xf numFmtId="0" fontId="0" fillId="0" borderId="48" xfId="0" applyBorder="1" applyProtection="1"/>
    <xf numFmtId="0" fontId="0" fillId="0" borderId="45" xfId="0" applyBorder="1" applyProtection="1"/>
    <xf numFmtId="0" fontId="0" fillId="0" borderId="40" xfId="0" applyBorder="1" applyProtection="1"/>
    <xf numFmtId="0" fontId="0" fillId="0" borderId="29" xfId="0" applyBorder="1" applyProtection="1"/>
    <xf numFmtId="0" fontId="0" fillId="0" borderId="0" xfId="0" applyFont="1" applyAlignment="1">
      <alignment vertical="center"/>
    </xf>
    <xf numFmtId="0" fontId="0" fillId="0" borderId="0" xfId="0" applyNumberFormat="1" applyFont="1" applyAlignment="1">
      <alignment vertical="center"/>
    </xf>
    <xf numFmtId="2" fontId="0" fillId="0" borderId="0" xfId="0" applyNumberFormat="1" applyFont="1" applyAlignment="1">
      <alignment vertical="center"/>
    </xf>
    <xf numFmtId="49"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0" fillId="0" borderId="0" xfId="0" applyFont="1" applyFill="1" applyBorder="1" applyAlignment="1">
      <alignment horizontal="left" vertical="center" wrapText="1"/>
    </xf>
    <xf numFmtId="49" fontId="0" fillId="0" borderId="0" xfId="0" applyNumberFormat="1" applyFont="1" applyFill="1" applyBorder="1" applyAlignment="1">
      <alignment horizontal="left" vertical="center" wrapText="1"/>
    </xf>
    <xf numFmtId="0" fontId="38" fillId="3" borderId="51" xfId="0" applyFont="1" applyFill="1" applyBorder="1"/>
    <xf numFmtId="16" fontId="35" fillId="4" borderId="4" xfId="0" applyNumberFormat="1" applyFont="1" applyFill="1" applyBorder="1"/>
    <xf numFmtId="0" fontId="38" fillId="3" borderId="52" xfId="0" applyFont="1" applyFill="1" applyBorder="1"/>
    <xf numFmtId="18" fontId="35" fillId="4" borderId="4" xfId="0" applyNumberFormat="1" applyFont="1" applyFill="1" applyBorder="1"/>
    <xf numFmtId="18" fontId="35" fillId="4" borderId="45" xfId="0" applyNumberFormat="1" applyFont="1" applyFill="1" applyBorder="1"/>
    <xf numFmtId="0" fontId="38" fillId="3" borderId="28" xfId="0" applyFont="1" applyFill="1" applyBorder="1"/>
    <xf numFmtId="0" fontId="35" fillId="4" borderId="4" xfId="0" applyFont="1" applyFill="1" applyBorder="1"/>
    <xf numFmtId="0" fontId="38" fillId="0" borderId="0" xfId="0" applyFont="1" applyFill="1" applyBorder="1"/>
    <xf numFmtId="0" fontId="36" fillId="0" borderId="0" xfId="0" applyFont="1" applyFill="1" applyBorder="1"/>
    <xf numFmtId="0" fontId="35" fillId="0" borderId="0" xfId="0" applyFont="1"/>
    <xf numFmtId="0" fontId="0" fillId="0" borderId="0" xfId="0" applyFont="1" applyFill="1" applyBorder="1" applyAlignment="1">
      <alignment vertical="center" wrapText="1"/>
    </xf>
    <xf numFmtId="0" fontId="17" fillId="0" borderId="0" xfId="0" applyFont="1" applyFill="1" applyBorder="1" applyAlignment="1">
      <alignment vertical="center"/>
    </xf>
    <xf numFmtId="0" fontId="18" fillId="0" borderId="0" xfId="0" applyFont="1" applyFill="1" applyBorder="1" applyAlignment="1">
      <alignment vertical="center"/>
    </xf>
    <xf numFmtId="0" fontId="17" fillId="4" borderId="8" xfId="0" applyNumberFormat="1" applyFont="1" applyFill="1" applyBorder="1" applyAlignment="1">
      <alignment horizontal="center" vertical="center"/>
    </xf>
    <xf numFmtId="0" fontId="17" fillId="4" borderId="11" xfId="0" applyFont="1" applyFill="1" applyBorder="1" applyAlignment="1">
      <alignment horizontal="center" vertical="center"/>
    </xf>
    <xf numFmtId="0" fontId="0" fillId="0" borderId="0" xfId="0" applyFont="1" applyBorder="1" applyAlignment="1">
      <alignment vertical="center"/>
    </xf>
    <xf numFmtId="0" fontId="20" fillId="2" borderId="4" xfId="0" applyFont="1" applyFill="1" applyBorder="1" applyAlignment="1">
      <alignment horizontal="center" vertical="center" wrapText="1"/>
    </xf>
    <xf numFmtId="0" fontId="17" fillId="2" borderId="11" xfId="0" applyFont="1" applyFill="1" applyBorder="1" applyAlignment="1">
      <alignment horizontal="center" vertical="center"/>
    </xf>
    <xf numFmtId="0" fontId="0" fillId="0" borderId="0" xfId="0" applyFont="1" applyBorder="1" applyAlignment="1">
      <alignment vertical="center" wrapText="1"/>
    </xf>
    <xf numFmtId="0" fontId="17" fillId="2" borderId="8" xfId="0" applyNumberFormat="1" applyFont="1" applyFill="1" applyBorder="1" applyAlignment="1">
      <alignment horizontal="center" vertical="center"/>
    </xf>
    <xf numFmtId="0" fontId="0" fillId="0" borderId="8" xfId="0" applyFont="1" applyBorder="1" applyAlignment="1">
      <alignment horizontal="center" vertical="center"/>
    </xf>
    <xf numFmtId="49" fontId="0" fillId="0" borderId="4" xfId="0" applyNumberFormat="1" applyFont="1" applyBorder="1" applyAlignment="1">
      <alignment horizontal="center" vertical="center"/>
    </xf>
    <xf numFmtId="0" fontId="0" fillId="0" borderId="4" xfId="0" applyFont="1" applyBorder="1" applyAlignment="1">
      <alignment horizontal="center" vertical="center"/>
    </xf>
    <xf numFmtId="0" fontId="39" fillId="0" borderId="8" xfId="0" applyFont="1" applyBorder="1" applyAlignment="1">
      <alignment horizontal="center" vertical="center"/>
    </xf>
    <xf numFmtId="0" fontId="26" fillId="0" borderId="11" xfId="0" applyFont="1" applyBorder="1" applyAlignment="1">
      <alignment horizontal="center" vertical="center"/>
    </xf>
    <xf numFmtId="0" fontId="0" fillId="0" borderId="4" xfId="0" applyFont="1" applyBorder="1" applyAlignment="1">
      <alignment horizontal="center" vertical="center" wrapText="1"/>
    </xf>
    <xf numFmtId="0" fontId="0" fillId="0" borderId="47" xfId="0" applyFont="1" applyBorder="1" applyAlignment="1">
      <alignment horizontal="center" vertical="center"/>
    </xf>
    <xf numFmtId="49" fontId="0" fillId="0" borderId="45" xfId="0" applyNumberFormat="1" applyFont="1" applyBorder="1" applyAlignment="1">
      <alignment horizontal="center" vertical="center"/>
    </xf>
    <xf numFmtId="0" fontId="0" fillId="0" borderId="45" xfId="0" applyFont="1" applyBorder="1" applyAlignment="1">
      <alignment horizontal="center" vertical="center"/>
    </xf>
    <xf numFmtId="0" fontId="0" fillId="0" borderId="45" xfId="0" applyFont="1" applyBorder="1" applyAlignment="1">
      <alignment horizontal="center" vertical="center" wrapText="1"/>
    </xf>
    <xf numFmtId="0" fontId="17" fillId="0" borderId="0" xfId="0" applyFont="1" applyBorder="1" applyAlignment="1">
      <alignment vertical="center"/>
    </xf>
    <xf numFmtId="0" fontId="0" fillId="0" borderId="12" xfId="0" applyFont="1" applyBorder="1" applyAlignment="1">
      <alignment horizontal="center" vertical="center"/>
    </xf>
    <xf numFmtId="49" fontId="0" fillId="0" borderId="10" xfId="0" applyNumberFormat="1" applyFont="1" applyBorder="1" applyAlignment="1">
      <alignment horizontal="center" vertical="center"/>
    </xf>
    <xf numFmtId="0" fontId="0" fillId="0" borderId="10" xfId="0" applyFont="1" applyBorder="1" applyAlignment="1">
      <alignment horizontal="center" vertical="center"/>
    </xf>
    <xf numFmtId="0" fontId="0" fillId="0" borderId="10" xfId="0" applyFont="1" applyBorder="1" applyAlignment="1">
      <alignment horizontal="center" vertical="center" wrapText="1"/>
    </xf>
    <xf numFmtId="0" fontId="0" fillId="0" borderId="0" xfId="0" applyFont="1" applyBorder="1" applyAlignment="1">
      <alignment horizontal="center" vertical="center"/>
    </xf>
    <xf numFmtId="49" fontId="0" fillId="0" borderId="0" xfId="0" applyNumberFormat="1" applyFont="1" applyBorder="1" applyAlignment="1">
      <alignment horizontal="center" vertical="center"/>
    </xf>
    <xf numFmtId="0" fontId="0" fillId="0" borderId="0" xfId="0" applyFont="1" applyBorder="1" applyAlignment="1">
      <alignment horizontal="center" vertical="center" wrapText="1"/>
    </xf>
    <xf numFmtId="0" fontId="23" fillId="0" borderId="0" xfId="0" applyFont="1" applyBorder="1" applyAlignment="1">
      <alignment horizontal="center" vertical="center"/>
    </xf>
    <xf numFmtId="0" fontId="39" fillId="0" borderId="12" xfId="0" applyFont="1" applyBorder="1" applyAlignment="1">
      <alignment horizontal="center" vertical="center"/>
    </xf>
    <xf numFmtId="0" fontId="26" fillId="0" borderId="13" xfId="0" applyFont="1" applyBorder="1" applyAlignment="1">
      <alignment horizontal="center" vertical="center" wrapText="1"/>
    </xf>
    <xf numFmtId="0" fontId="17" fillId="0" borderId="0" xfId="0" applyNumberFormat="1" applyFont="1" applyBorder="1" applyAlignment="1">
      <alignment vertical="center"/>
    </xf>
    <xf numFmtId="0" fontId="17" fillId="0" borderId="0" xfId="0" applyFont="1" applyBorder="1" applyAlignment="1">
      <alignment horizontal="left" vertical="center" wrapText="1"/>
    </xf>
    <xf numFmtId="0" fontId="26" fillId="0" borderId="8" xfId="0" applyNumberFormat="1" applyFont="1" applyBorder="1" applyAlignment="1">
      <alignment horizontal="center" vertical="center"/>
    </xf>
    <xf numFmtId="0" fontId="26" fillId="0" borderId="47" xfId="0" applyNumberFormat="1" applyFont="1" applyBorder="1" applyAlignment="1">
      <alignment horizontal="center" vertical="center"/>
    </xf>
    <xf numFmtId="0" fontId="26" fillId="0" borderId="12" xfId="0" applyNumberFormat="1" applyFont="1" applyBorder="1" applyAlignment="1">
      <alignment horizontal="center" vertical="center"/>
    </xf>
    <xf numFmtId="164" fontId="26" fillId="0" borderId="8" xfId="0" applyNumberFormat="1" applyFont="1" applyBorder="1" applyAlignment="1">
      <alignment horizontal="center" vertical="center"/>
    </xf>
    <xf numFmtId="164" fontId="26" fillId="0" borderId="12" xfId="0" applyNumberFormat="1" applyFont="1" applyBorder="1" applyAlignment="1">
      <alignment horizontal="center" vertical="center"/>
    </xf>
    <xf numFmtId="0" fontId="26" fillId="0" borderId="13" xfId="0" applyFont="1" applyBorder="1" applyAlignment="1">
      <alignment horizontal="center" vertical="center"/>
    </xf>
    <xf numFmtId="0" fontId="26" fillId="0" borderId="0" xfId="0" applyNumberFormat="1" applyFont="1" applyBorder="1" applyAlignment="1">
      <alignment horizontal="center" vertical="center"/>
    </xf>
    <xf numFmtId="0" fontId="26" fillId="0" borderId="0" xfId="0" applyFont="1" applyBorder="1" applyAlignment="1">
      <alignment horizontal="center" vertical="center" wrapText="1"/>
    </xf>
    <xf numFmtId="0" fontId="3" fillId="4" borderId="10"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0" fillId="4" borderId="7" xfId="0" applyFont="1" applyFill="1" applyBorder="1" applyAlignment="1" applyProtection="1">
      <alignment horizontal="center" vertical="center"/>
      <protection locked="0"/>
    </xf>
    <xf numFmtId="0" fontId="0" fillId="4" borderId="7" xfId="0" quotePrefix="1" applyFont="1" applyFill="1" applyBorder="1" applyAlignment="1" applyProtection="1">
      <alignment horizontal="center" vertical="center"/>
      <protection locked="0"/>
    </xf>
    <xf numFmtId="0" fontId="0" fillId="0" borderId="7" xfId="0" applyFont="1" applyFill="1" applyBorder="1" applyAlignment="1" applyProtection="1">
      <alignment horizontal="center" vertical="center"/>
      <protection locked="0"/>
    </xf>
    <xf numFmtId="0" fontId="0" fillId="10" borderId="14" xfId="0" applyFont="1" applyFill="1" applyBorder="1" applyAlignment="1" applyProtection="1">
      <alignment horizontal="center" vertical="center"/>
      <protection locked="0"/>
    </xf>
    <xf numFmtId="0" fontId="11" fillId="9" borderId="31" xfId="0" applyFont="1" applyFill="1" applyBorder="1" applyAlignment="1" applyProtection="1">
      <alignment horizontal="center" vertical="center" wrapText="1"/>
      <protection locked="0"/>
    </xf>
    <xf numFmtId="0" fontId="17" fillId="0" borderId="22" xfId="0" applyFont="1" applyBorder="1" applyAlignment="1" applyProtection="1">
      <alignment horizontal="center" vertical="center"/>
      <protection locked="0"/>
    </xf>
    <xf numFmtId="0" fontId="0" fillId="4" borderId="22" xfId="0" applyFont="1" applyFill="1" applyBorder="1" applyAlignment="1" applyProtection="1">
      <alignment horizontal="center" vertical="center"/>
      <protection locked="0"/>
    </xf>
    <xf numFmtId="0" fontId="0" fillId="4" borderId="22" xfId="0" quotePrefix="1" applyFont="1" applyFill="1" applyBorder="1" applyAlignment="1" applyProtection="1">
      <alignment horizontal="center" vertical="center"/>
      <protection locked="0"/>
    </xf>
    <xf numFmtId="0" fontId="0" fillId="0" borderId="22" xfId="0" applyFont="1" applyFill="1" applyBorder="1" applyAlignment="1" applyProtection="1">
      <alignment horizontal="center" vertical="center"/>
      <protection locked="0"/>
    </xf>
    <xf numFmtId="0" fontId="0" fillId="0" borderId="22" xfId="0" applyFont="1" applyBorder="1" applyAlignment="1" applyProtection="1">
      <alignment horizontal="center" vertical="center" wrapText="1" shrinkToFit="1"/>
      <protection locked="0"/>
    </xf>
    <xf numFmtId="0" fontId="0" fillId="0" borderId="4" xfId="0" applyBorder="1" applyProtection="1">
      <protection locked="0"/>
    </xf>
    <xf numFmtId="0" fontId="0" fillId="0" borderId="11" xfId="0" applyBorder="1" applyProtection="1">
      <protection locked="0"/>
    </xf>
    <xf numFmtId="0" fontId="0" fillId="0" borderId="45" xfId="0" applyBorder="1" applyProtection="1">
      <protection locked="0"/>
    </xf>
    <xf numFmtId="0" fontId="0" fillId="0" borderId="40" xfId="0" applyBorder="1" applyProtection="1">
      <protection locked="0"/>
    </xf>
    <xf numFmtId="0" fontId="0" fillId="0" borderId="10" xfId="0" applyBorder="1" applyProtection="1">
      <protection locked="0"/>
    </xf>
    <xf numFmtId="0" fontId="0" fillId="0" borderId="13" xfId="0" applyBorder="1" applyProtection="1">
      <protection locked="0"/>
    </xf>
    <xf numFmtId="0" fontId="35" fillId="0" borderId="15" xfId="0" applyFont="1" applyBorder="1" applyAlignment="1">
      <alignment horizontal="center"/>
    </xf>
    <xf numFmtId="0" fontId="35" fillId="0" borderId="16" xfId="0" applyFont="1" applyBorder="1" applyAlignment="1">
      <alignment horizontal="center"/>
    </xf>
    <xf numFmtId="0" fontId="35" fillId="0" borderId="17" xfId="0" applyFont="1" applyBorder="1" applyAlignment="1">
      <alignment horizontal="center"/>
    </xf>
    <xf numFmtId="0" fontId="35" fillId="0" borderId="53" xfId="0" applyFont="1" applyBorder="1" applyAlignment="1">
      <alignment horizontal="center"/>
    </xf>
    <xf numFmtId="0" fontId="35" fillId="0" borderId="54" xfId="0" applyFont="1" applyBorder="1" applyAlignment="1">
      <alignment horizontal="center"/>
    </xf>
    <xf numFmtId="0" fontId="35" fillId="0" borderId="55" xfId="0" applyFont="1" applyBorder="1" applyAlignment="1">
      <alignment horizontal="center"/>
    </xf>
    <xf numFmtId="0" fontId="35" fillId="0" borderId="54" xfId="0" applyFont="1" applyBorder="1"/>
    <xf numFmtId="11" fontId="35" fillId="0" borderId="54" xfId="0" applyNumberFormat="1" applyFont="1" applyBorder="1"/>
    <xf numFmtId="0" fontId="35" fillId="0" borderId="55" xfId="0" applyFont="1" applyBorder="1"/>
    <xf numFmtId="0" fontId="35" fillId="0" borderId="49" xfId="0" applyFont="1" applyBorder="1" applyAlignment="1">
      <alignment horizontal="center"/>
    </xf>
    <xf numFmtId="0" fontId="35" fillId="0" borderId="0" xfId="0" applyFont="1" applyBorder="1" applyAlignment="1">
      <alignment horizontal="center"/>
    </xf>
    <xf numFmtId="0" fontId="35" fillId="0" borderId="56" xfId="0" applyFont="1" applyBorder="1" applyAlignment="1">
      <alignment horizontal="center"/>
    </xf>
    <xf numFmtId="0" fontId="35" fillId="0" borderId="50" xfId="0" applyFont="1" applyBorder="1" applyAlignment="1">
      <alignment horizontal="center"/>
    </xf>
    <xf numFmtId="0" fontId="35" fillId="0" borderId="0" xfId="0" applyFont="1" applyBorder="1"/>
    <xf numFmtId="11" fontId="35" fillId="0" borderId="0" xfId="0" applyNumberFormat="1" applyFont="1" applyBorder="1"/>
    <xf numFmtId="0" fontId="35" fillId="0" borderId="50" xfId="0" applyFont="1" applyBorder="1"/>
    <xf numFmtId="0" fontId="35" fillId="0" borderId="53" xfId="0" applyNumberFormat="1" applyFont="1" applyBorder="1"/>
    <xf numFmtId="0" fontId="35" fillId="0" borderId="54" xfId="0" applyNumberFormat="1" applyFont="1" applyBorder="1"/>
    <xf numFmtId="0" fontId="35" fillId="0" borderId="55" xfId="0" applyNumberFormat="1" applyFont="1" applyBorder="1"/>
    <xf numFmtId="0" fontId="35" fillId="0" borderId="53" xfId="0" applyFont="1" applyBorder="1"/>
    <xf numFmtId="0" fontId="35" fillId="0" borderId="49" xfId="0" applyNumberFormat="1" applyFont="1" applyBorder="1"/>
    <xf numFmtId="0" fontId="35" fillId="0" borderId="0" xfId="0" applyNumberFormat="1" applyFont="1" applyBorder="1"/>
    <xf numFmtId="0" fontId="35" fillId="0" borderId="50" xfId="0" applyNumberFormat="1" applyFont="1" applyBorder="1"/>
    <xf numFmtId="0" fontId="35" fillId="0" borderId="49" xfId="0" applyFont="1" applyBorder="1"/>
    <xf numFmtId="0" fontId="35" fillId="0" borderId="58" xfId="0" applyFont="1" applyBorder="1"/>
    <xf numFmtId="0" fontId="35" fillId="0" borderId="57" xfId="0" applyFont="1" applyBorder="1"/>
    <xf numFmtId="0" fontId="35" fillId="0" borderId="56" xfId="0" applyFont="1" applyBorder="1"/>
    <xf numFmtId="0" fontId="35" fillId="0" borderId="57" xfId="0" applyFont="1" applyBorder="1" applyAlignment="1">
      <alignment horizontal="center"/>
    </xf>
    <xf numFmtId="0" fontId="35" fillId="0" borderId="58" xfId="0" applyFont="1" applyBorder="1" applyAlignment="1">
      <alignment horizontal="center"/>
    </xf>
    <xf numFmtId="11" fontId="35" fillId="0" borderId="56" xfId="0" applyNumberFormat="1" applyFont="1" applyBorder="1"/>
    <xf numFmtId="0" fontId="35" fillId="0" borderId="0" xfId="0" applyFont="1" applyAlignment="1">
      <alignment vertical="center" wrapText="1"/>
    </xf>
    <xf numFmtId="0" fontId="35" fillId="0" borderId="0" xfId="0" applyFont="1" applyAlignment="1"/>
    <xf numFmtId="0" fontId="35" fillId="11" borderId="56" xfId="0" applyFont="1" applyFill="1" applyBorder="1"/>
    <xf numFmtId="0" fontId="35" fillId="11" borderId="58" xfId="0" applyFont="1" applyFill="1" applyBorder="1"/>
    <xf numFmtId="0" fontId="35" fillId="0" borderId="15" xfId="0" applyFont="1" applyBorder="1"/>
    <xf numFmtId="0" fontId="35" fillId="0" borderId="16" xfId="0" applyFont="1" applyBorder="1"/>
    <xf numFmtId="0" fontId="35" fillId="0" borderId="17" xfId="0" applyFont="1" applyBorder="1"/>
    <xf numFmtId="0" fontId="35" fillId="0" borderId="27" xfId="0" applyFont="1" applyBorder="1"/>
    <xf numFmtId="0" fontId="35" fillId="0" borderId="38" xfId="0" applyFont="1" applyBorder="1"/>
    <xf numFmtId="0" fontId="35" fillId="0" borderId="60" xfId="0" applyFont="1" applyBorder="1"/>
    <xf numFmtId="0" fontId="35" fillId="0" borderId="61" xfId="0" applyFont="1" applyBorder="1"/>
    <xf numFmtId="0" fontId="35" fillId="0" borderId="0" xfId="0" applyFont="1" applyAlignment="1">
      <alignment horizontal="center"/>
    </xf>
    <xf numFmtId="0" fontId="35" fillId="7" borderId="51" xfId="0" applyFont="1" applyFill="1" applyBorder="1" applyAlignment="1">
      <alignment horizontal="center" vertical="center" wrapText="1"/>
    </xf>
    <xf numFmtId="0" fontId="35" fillId="7" borderId="52" xfId="0" applyFont="1" applyFill="1" applyBorder="1" applyAlignment="1">
      <alignment horizontal="center" vertical="center" wrapText="1"/>
    </xf>
    <xf numFmtId="0" fontId="18" fillId="0" borderId="0" xfId="0" applyFont="1" applyFill="1" applyBorder="1" applyAlignment="1" applyProtection="1">
      <alignment vertical="top" wrapText="1"/>
      <protection locked="0"/>
    </xf>
    <xf numFmtId="0" fontId="24" fillId="0" borderId="0" xfId="0" applyFont="1" applyFill="1" applyBorder="1" applyAlignment="1" applyProtection="1">
      <alignment vertical="center"/>
      <protection locked="0"/>
    </xf>
    <xf numFmtId="22" fontId="0" fillId="0" borderId="0" xfId="0" applyNumberFormat="1" applyProtection="1">
      <protection locked="0"/>
    </xf>
    <xf numFmtId="0" fontId="32" fillId="0" borderId="0" xfId="0" applyFont="1" applyProtection="1">
      <protection locked="0"/>
    </xf>
    <xf numFmtId="0" fontId="33" fillId="0" borderId="0" xfId="0" applyFont="1" applyProtection="1">
      <protection locked="0"/>
    </xf>
    <xf numFmtId="0" fontId="31" fillId="0" borderId="0" xfId="0" applyFont="1" applyProtection="1">
      <protection locked="0"/>
    </xf>
    <xf numFmtId="0" fontId="43" fillId="16" borderId="0" xfId="0" applyFont="1" applyFill="1" applyBorder="1" applyAlignment="1">
      <alignment horizontal="center" vertical="center" wrapText="1"/>
    </xf>
    <xf numFmtId="0" fontId="35" fillId="0" borderId="63" xfId="0" applyFont="1" applyBorder="1" applyAlignment="1">
      <alignment horizontal="center" vertical="center" wrapText="1"/>
    </xf>
    <xf numFmtId="0" fontId="35" fillId="0" borderId="64" xfId="0" applyFont="1" applyBorder="1" applyAlignment="1">
      <alignment horizontal="center" vertical="center" wrapText="1"/>
    </xf>
    <xf numFmtId="0" fontId="35" fillId="7" borderId="65" xfId="0" applyFont="1" applyFill="1" applyBorder="1" applyAlignment="1">
      <alignment horizontal="center" vertical="center" wrapText="1"/>
    </xf>
    <xf numFmtId="0" fontId="35" fillId="0" borderId="4" xfId="0" applyFont="1" applyBorder="1" applyAlignment="1">
      <alignment horizontal="center" vertical="center" wrapText="1"/>
    </xf>
    <xf numFmtId="0" fontId="35" fillId="7" borderId="0" xfId="0" applyFont="1" applyFill="1" applyBorder="1" applyAlignment="1">
      <alignment horizontal="center" wrapText="1"/>
    </xf>
    <xf numFmtId="0" fontId="45" fillId="0" borderId="0" xfId="0" applyFont="1" applyAlignment="1">
      <alignment horizontal="center"/>
    </xf>
    <xf numFmtId="0" fontId="46" fillId="0" borderId="0" xfId="1"/>
    <xf numFmtId="0" fontId="35" fillId="0" borderId="4" xfId="0" applyFont="1" applyBorder="1" applyAlignment="1">
      <alignment horizontal="center"/>
    </xf>
    <xf numFmtId="0" fontId="35" fillId="0" borderId="0" xfId="0" applyFont="1" applyFill="1" applyBorder="1" applyAlignment="1">
      <alignment horizontal="center" vertical="center" wrapText="1"/>
    </xf>
    <xf numFmtId="0" fontId="0" fillId="0" borderId="0" xfId="0" applyBorder="1"/>
    <xf numFmtId="0" fontId="35" fillId="0" borderId="0" xfId="0" applyFont="1" applyBorder="1" applyAlignment="1">
      <alignment horizontal="center" vertical="center" wrapText="1"/>
    </xf>
    <xf numFmtId="0" fontId="0" fillId="0" borderId="0" xfId="0" applyFill="1" applyBorder="1"/>
    <xf numFmtId="0" fontId="35" fillId="0" borderId="0" xfId="0" applyFont="1" applyFill="1" applyBorder="1" applyAlignment="1">
      <alignment horizontal="center" wrapText="1"/>
    </xf>
    <xf numFmtId="0" fontId="35" fillId="0" borderId="66" xfId="0" applyFont="1" applyBorder="1" applyAlignment="1">
      <alignment horizontal="center" vertical="center" wrapText="1"/>
    </xf>
    <xf numFmtId="0" fontId="35" fillId="0" borderId="67" xfId="0" applyFont="1" applyBorder="1" applyAlignment="1">
      <alignment horizontal="center" vertical="center" wrapText="1"/>
    </xf>
    <xf numFmtId="0" fontId="35" fillId="7" borderId="65" xfId="0" applyFont="1" applyFill="1" applyBorder="1" applyAlignment="1">
      <alignment horizontal="center" wrapText="1"/>
    </xf>
    <xf numFmtId="0" fontId="35" fillId="7" borderId="68" xfId="0" applyFont="1" applyFill="1" applyBorder="1" applyAlignment="1">
      <alignment horizontal="center" vertical="center" wrapText="1"/>
    </xf>
    <xf numFmtId="0" fontId="35" fillId="0" borderId="69" xfId="0" applyFont="1" applyBorder="1" applyAlignment="1">
      <alignment horizontal="center" vertical="center" wrapText="1"/>
    </xf>
    <xf numFmtId="0" fontId="35" fillId="0" borderId="70" xfId="0" applyFont="1" applyBorder="1" applyAlignment="1">
      <alignment horizontal="center" vertical="center" wrapText="1"/>
    </xf>
    <xf numFmtId="0" fontId="36" fillId="0" borderId="0" xfId="0" applyFont="1" applyBorder="1" applyAlignment="1">
      <alignment horizontal="right" vertical="center" wrapText="1"/>
    </xf>
    <xf numFmtId="0" fontId="17" fillId="0" borderId="0" xfId="0" applyFont="1" applyAlignment="1"/>
    <xf numFmtId="0" fontId="49" fillId="13" borderId="0" xfId="4" applyAlignment="1"/>
    <xf numFmtId="0" fontId="44" fillId="0" borderId="0" xfId="0" applyFont="1"/>
    <xf numFmtId="0" fontId="50" fillId="0" borderId="0" xfId="0" applyFont="1" applyAlignment="1">
      <alignment vertical="center"/>
    </xf>
    <xf numFmtId="0" fontId="35" fillId="0" borderId="0" xfId="0" applyFont="1" applyAlignment="1">
      <alignment vertical="center"/>
    </xf>
    <xf numFmtId="0" fontId="35" fillId="0" borderId="0" xfId="0" applyFont="1" applyAlignment="1">
      <alignment horizontal="left" vertical="center" indent="2"/>
    </xf>
    <xf numFmtId="0" fontId="54" fillId="15" borderId="0" xfId="5" applyAlignment="1"/>
    <xf numFmtId="0" fontId="35" fillId="3" borderId="0" xfId="0" applyFont="1" applyFill="1"/>
    <xf numFmtId="0" fontId="17" fillId="0" borderId="4" xfId="0" applyFont="1" applyBorder="1" applyAlignment="1" applyProtection="1">
      <alignment horizontal="center" vertical="center"/>
      <protection locked="0"/>
    </xf>
    <xf numFmtId="0" fontId="11" fillId="9" borderId="35" xfId="0" applyFont="1" applyFill="1" applyBorder="1" applyAlignment="1" applyProtection="1">
      <alignment horizontal="center" vertical="center" wrapText="1"/>
      <protection locked="0"/>
    </xf>
    <xf numFmtId="0" fontId="0" fillId="0" borderId="40"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25" fillId="2" borderId="30" xfId="0" applyFont="1" applyFill="1" applyBorder="1" applyAlignment="1">
      <alignment horizontal="center" vertical="center"/>
    </xf>
    <xf numFmtId="0" fontId="25" fillId="2" borderId="33" xfId="0" applyFont="1" applyFill="1" applyBorder="1" applyAlignment="1">
      <alignment horizontal="center" vertical="center"/>
    </xf>
    <xf numFmtId="0" fontId="25" fillId="2" borderId="31" xfId="0" applyFont="1" applyFill="1" applyBorder="1" applyAlignment="1">
      <alignment horizontal="center" vertical="center"/>
    </xf>
    <xf numFmtId="0" fontId="20" fillId="2" borderId="37" xfId="0" applyFont="1" applyFill="1" applyBorder="1" applyAlignment="1">
      <alignment horizontal="center" vertical="center" wrapText="1"/>
    </xf>
    <xf numFmtId="0" fontId="20" fillId="2" borderId="3" xfId="0" applyFont="1" applyFill="1" applyBorder="1" applyAlignment="1">
      <alignment horizontal="center" vertical="center" wrapText="1"/>
    </xf>
    <xf numFmtId="0" fontId="18" fillId="9" borderId="15" xfId="0" applyFont="1" applyFill="1" applyBorder="1" applyAlignment="1">
      <alignment horizontal="center" vertical="center"/>
    </xf>
    <xf numFmtId="0" fontId="18" fillId="9" borderId="16" xfId="0" applyFont="1" applyFill="1" applyBorder="1" applyAlignment="1">
      <alignment horizontal="center" vertical="center"/>
    </xf>
    <xf numFmtId="0" fontId="18" fillId="9" borderId="17" xfId="0" applyFont="1" applyFill="1" applyBorder="1" applyAlignment="1">
      <alignment horizontal="center" vertical="center"/>
    </xf>
    <xf numFmtId="0" fontId="18" fillId="2" borderId="39" xfId="0" applyFont="1" applyFill="1" applyBorder="1" applyAlignment="1">
      <alignment horizontal="center" vertical="center"/>
    </xf>
    <xf numFmtId="0" fontId="18" fillId="2" borderId="38" xfId="0" applyFont="1" applyFill="1" applyBorder="1" applyAlignment="1">
      <alignment horizontal="center" vertical="center"/>
    </xf>
    <xf numFmtId="0" fontId="18" fillId="2" borderId="27" xfId="0" applyFont="1" applyFill="1" applyBorder="1" applyAlignment="1">
      <alignment horizontal="center" vertical="center"/>
    </xf>
    <xf numFmtId="0" fontId="35" fillId="4" borderId="1" xfId="0" applyFont="1" applyFill="1" applyBorder="1" applyAlignment="1">
      <alignment horizontal="left" vertical="top" wrapText="1"/>
    </xf>
    <xf numFmtId="0" fontId="35" fillId="4" borderId="2" xfId="0" applyFont="1" applyFill="1" applyBorder="1" applyAlignment="1">
      <alignment horizontal="left" vertical="top" wrapText="1"/>
    </xf>
    <xf numFmtId="0" fontId="35" fillId="4" borderId="3" xfId="0" applyFont="1" applyFill="1" applyBorder="1" applyAlignment="1">
      <alignment horizontal="left" vertical="top" wrapText="1"/>
    </xf>
    <xf numFmtId="0" fontId="36" fillId="2" borderId="4" xfId="0" applyFont="1" applyFill="1" applyBorder="1" applyAlignment="1">
      <alignment horizontal="center"/>
    </xf>
    <xf numFmtId="0" fontId="37" fillId="0" borderId="45" xfId="0" applyFont="1" applyBorder="1" applyAlignment="1">
      <alignment horizontal="center" vertical="center"/>
    </xf>
    <xf numFmtId="0" fontId="35" fillId="0" borderId="6" xfId="0" applyFont="1" applyBorder="1" applyAlignment="1">
      <alignment horizontal="center" vertical="center"/>
    </xf>
    <xf numFmtId="0" fontId="35" fillId="0" borderId="7" xfId="0" applyFont="1" applyBorder="1" applyAlignment="1">
      <alignment horizontal="center" vertical="center"/>
    </xf>
    <xf numFmtId="0" fontId="35" fillId="0" borderId="28" xfId="0" applyFont="1" applyBorder="1" applyAlignment="1">
      <alignment horizontal="center" vertical="center"/>
    </xf>
    <xf numFmtId="0" fontId="0" fillId="9" borderId="34" xfId="0" applyFont="1" applyFill="1" applyBorder="1" applyAlignment="1">
      <alignment horizontal="center" vertical="center"/>
    </xf>
    <xf numFmtId="0" fontId="0" fillId="9" borderId="36" xfId="0" applyFont="1" applyFill="1" applyBorder="1" applyAlignment="1">
      <alignment horizontal="center" vertical="center"/>
    </xf>
    <xf numFmtId="0" fontId="0" fillId="9" borderId="35" xfId="0" applyFont="1" applyFill="1" applyBorder="1" applyAlignment="1">
      <alignment horizontal="center" vertical="center"/>
    </xf>
    <xf numFmtId="0" fontId="0" fillId="9" borderId="34" xfId="0" applyFont="1" applyFill="1" applyBorder="1" applyAlignment="1">
      <alignment horizontal="center" vertical="center" wrapText="1"/>
    </xf>
    <xf numFmtId="0" fontId="0" fillId="9" borderId="35" xfId="0" applyFont="1" applyFill="1" applyBorder="1" applyAlignment="1">
      <alignment horizontal="center" vertical="center" wrapText="1"/>
    </xf>
    <xf numFmtId="0" fontId="0" fillId="9" borderId="36" xfId="0" applyFont="1" applyFill="1" applyBorder="1" applyAlignment="1">
      <alignment horizontal="center" vertical="center" wrapText="1"/>
    </xf>
    <xf numFmtId="0" fontId="36" fillId="2" borderId="7" xfId="0" applyFont="1" applyFill="1" applyBorder="1" applyAlignment="1">
      <alignment horizontal="center"/>
    </xf>
    <xf numFmtId="0" fontId="18" fillId="2" borderId="39" xfId="0" applyFont="1" applyFill="1" applyBorder="1" applyAlignment="1">
      <alignment horizontal="center" vertical="center" wrapText="1"/>
    </xf>
    <xf numFmtId="0" fontId="18" fillId="2" borderId="5" xfId="0" applyFont="1" applyFill="1" applyBorder="1" applyAlignment="1">
      <alignment horizontal="center" vertical="center" wrapText="1"/>
    </xf>
    <xf numFmtId="0" fontId="18" fillId="2" borderId="28" xfId="0" applyFont="1" applyFill="1" applyBorder="1" applyAlignment="1">
      <alignment horizontal="center" vertical="center" wrapText="1"/>
    </xf>
    <xf numFmtId="0" fontId="18" fillId="2" borderId="27" xfId="0" applyFont="1" applyFill="1" applyBorder="1" applyAlignment="1">
      <alignment horizontal="center" vertical="center" wrapText="1"/>
    </xf>
    <xf numFmtId="0" fontId="36" fillId="4" borderId="1" xfId="0" applyFont="1" applyFill="1" applyBorder="1" applyAlignment="1">
      <alignment horizontal="center" vertical="top" wrapText="1"/>
    </xf>
    <xf numFmtId="0" fontId="36" fillId="4" borderId="3" xfId="0" applyFont="1" applyFill="1" applyBorder="1" applyAlignment="1">
      <alignment horizontal="center" vertical="top" wrapText="1"/>
    </xf>
    <xf numFmtId="0" fontId="25" fillId="2" borderId="39" xfId="0" applyFont="1" applyFill="1" applyBorder="1" applyAlignment="1">
      <alignment horizontal="center" vertical="center"/>
    </xf>
    <xf numFmtId="0" fontId="25" fillId="2" borderId="27" xfId="0" applyFont="1" applyFill="1" applyBorder="1" applyAlignment="1">
      <alignment horizontal="center" vertical="center"/>
    </xf>
    <xf numFmtId="0" fontId="0" fillId="4" borderId="32" xfId="0" applyFont="1" applyFill="1" applyBorder="1" applyAlignment="1">
      <alignment horizontal="center" vertical="center"/>
    </xf>
    <xf numFmtId="0" fontId="0" fillId="4" borderId="26" xfId="0" applyFont="1" applyFill="1" applyBorder="1" applyAlignment="1">
      <alignment horizontal="center" vertical="center"/>
    </xf>
    <xf numFmtId="0" fontId="0" fillId="9" borderId="42" xfId="0" applyFont="1" applyFill="1" applyBorder="1" applyAlignment="1">
      <alignment horizontal="center" vertical="center" wrapText="1"/>
    </xf>
    <xf numFmtId="0" fontId="0" fillId="9" borderId="43" xfId="0" applyFont="1" applyFill="1" applyBorder="1" applyAlignment="1">
      <alignment horizontal="center" vertical="center" wrapText="1"/>
    </xf>
    <xf numFmtId="0" fontId="25" fillId="2" borderId="9" xfId="0" applyFont="1" applyFill="1" applyBorder="1" applyAlignment="1">
      <alignment horizontal="center" vertical="center"/>
    </xf>
    <xf numFmtId="0" fontId="25" fillId="2" borderId="7" xfId="0" applyFont="1" applyFill="1" applyBorder="1" applyAlignment="1">
      <alignment horizontal="center" vertical="center"/>
    </xf>
    <xf numFmtId="0" fontId="25" fillId="2" borderId="14"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0" fillId="2" borderId="8" xfId="0" applyFont="1" applyFill="1" applyBorder="1" applyAlignment="1">
      <alignment horizontal="center" vertical="center" wrapText="1"/>
    </xf>
    <xf numFmtId="0" fontId="20" fillId="2" borderId="4" xfId="0" applyFont="1" applyFill="1" applyBorder="1" applyAlignment="1">
      <alignment horizontal="center" vertical="center" wrapText="1"/>
    </xf>
    <xf numFmtId="0" fontId="36" fillId="17" borderId="52" xfId="0" applyFont="1" applyFill="1" applyBorder="1" applyAlignment="1">
      <alignment horizontal="center"/>
    </xf>
    <xf numFmtId="0" fontId="36" fillId="17" borderId="0" xfId="0" applyFont="1" applyFill="1" applyBorder="1" applyAlignment="1">
      <alignment horizontal="center"/>
    </xf>
    <xf numFmtId="0" fontId="35" fillId="3" borderId="0" xfId="0" applyFont="1" applyFill="1" applyAlignment="1">
      <alignment horizontal="left" wrapText="1"/>
    </xf>
    <xf numFmtId="0" fontId="17" fillId="9" borderId="38" xfId="0" applyFont="1" applyFill="1" applyBorder="1" applyAlignment="1" applyProtection="1">
      <alignment horizontal="center" vertical="center" wrapText="1"/>
      <protection locked="0"/>
    </xf>
    <xf numFmtId="0" fontId="17" fillId="9" borderId="27" xfId="0" applyFont="1" applyFill="1" applyBorder="1" applyAlignment="1" applyProtection="1">
      <alignment horizontal="center" vertical="center" wrapText="1"/>
      <protection locked="0"/>
    </xf>
    <xf numFmtId="0" fontId="25" fillId="2" borderId="15" xfId="0" applyFont="1" applyFill="1" applyBorder="1" applyAlignment="1" applyProtection="1">
      <alignment horizontal="center" vertical="center"/>
      <protection locked="0"/>
    </xf>
    <xf numFmtId="0" fontId="25" fillId="2" borderId="16" xfId="0" applyFont="1" applyFill="1" applyBorder="1" applyAlignment="1" applyProtection="1">
      <alignment horizontal="center" vertical="center"/>
      <protection locked="0"/>
    </xf>
    <xf numFmtId="0" fontId="25" fillId="2" borderId="17" xfId="0" applyFont="1" applyFill="1" applyBorder="1" applyAlignment="1" applyProtection="1">
      <alignment horizontal="center" vertical="center"/>
      <protection locked="0"/>
    </xf>
    <xf numFmtId="0" fontId="18" fillId="9" borderId="15" xfId="0" applyFont="1" applyFill="1" applyBorder="1" applyAlignment="1" applyProtection="1">
      <alignment horizontal="center" vertical="top" wrapText="1"/>
      <protection locked="0"/>
    </xf>
    <xf numFmtId="0" fontId="18" fillId="9" borderId="16" xfId="0" applyFont="1" applyFill="1" applyBorder="1" applyAlignment="1" applyProtection="1">
      <alignment horizontal="center" vertical="top" wrapText="1"/>
      <protection locked="0"/>
    </xf>
    <xf numFmtId="0" fontId="24" fillId="2" borderId="15" xfId="0" applyFont="1" applyFill="1" applyBorder="1" applyAlignment="1" applyProtection="1">
      <alignment horizontal="center" vertical="center"/>
      <protection locked="0"/>
    </xf>
    <xf numFmtId="0" fontId="24" fillId="2" borderId="16" xfId="0" applyFont="1" applyFill="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24" fillId="2" borderId="4" xfId="0" applyFont="1" applyFill="1" applyBorder="1" applyAlignment="1" applyProtection="1">
      <alignment horizontal="center" vertical="center"/>
      <protection locked="0"/>
    </xf>
    <xf numFmtId="0" fontId="11" fillId="9" borderId="35" xfId="0" applyFont="1" applyFill="1" applyBorder="1" applyAlignment="1" applyProtection="1">
      <alignment horizontal="center" vertical="center" wrapText="1"/>
      <protection locked="0"/>
    </xf>
    <xf numFmtId="0" fontId="14" fillId="9" borderId="35"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8" fillId="2" borderId="34" xfId="0" applyFont="1" applyFill="1" applyBorder="1" applyAlignment="1" applyProtection="1">
      <alignment horizontal="center"/>
      <protection locked="0"/>
    </xf>
    <xf numFmtId="0" fontId="18" fillId="2" borderId="35" xfId="0" applyFont="1" applyFill="1" applyBorder="1" applyAlignment="1" applyProtection="1">
      <alignment horizontal="center"/>
      <protection locked="0"/>
    </xf>
    <xf numFmtId="0" fontId="18" fillId="2" borderId="36" xfId="0" applyFont="1" applyFill="1" applyBorder="1" applyAlignment="1" applyProtection="1">
      <alignment horizontal="center"/>
      <protection locked="0"/>
    </xf>
    <xf numFmtId="0" fontId="43" fillId="16" borderId="62" xfId="0" applyFont="1" applyFill="1" applyBorder="1" applyAlignment="1">
      <alignment horizontal="center" vertical="center" wrapText="1"/>
    </xf>
    <xf numFmtId="0" fontId="43" fillId="16" borderId="0" xfId="0" applyFont="1" applyFill="1" applyBorder="1" applyAlignment="1">
      <alignment horizontal="center" vertical="center" wrapText="1"/>
    </xf>
    <xf numFmtId="0" fontId="18" fillId="2" borderId="34" xfId="0" applyFont="1" applyFill="1" applyBorder="1" applyAlignment="1" applyProtection="1">
      <alignment horizontal="center"/>
    </xf>
    <xf numFmtId="0" fontId="18" fillId="2" borderId="35" xfId="0" applyFont="1" applyFill="1" applyBorder="1" applyAlignment="1" applyProtection="1">
      <alignment horizontal="center"/>
    </xf>
    <xf numFmtId="0" fontId="18" fillId="2" borderId="36"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5" fillId="2" borderId="15" xfId="0" applyFont="1" applyFill="1" applyBorder="1" applyAlignment="1" applyProtection="1">
      <alignment horizontal="center" vertical="center"/>
    </xf>
    <xf numFmtId="0" fontId="25" fillId="2" borderId="16" xfId="0" applyFont="1" applyFill="1" applyBorder="1" applyAlignment="1" applyProtection="1">
      <alignment horizontal="center" vertical="center"/>
    </xf>
    <xf numFmtId="0" fontId="25" fillId="2" borderId="17" xfId="0" applyFont="1" applyFill="1" applyBorder="1" applyAlignment="1" applyProtection="1">
      <alignment horizontal="center" vertical="center"/>
    </xf>
    <xf numFmtId="0" fontId="18" fillId="9" borderId="15" xfId="0" applyFont="1" applyFill="1" applyBorder="1" applyAlignment="1" applyProtection="1">
      <alignment horizontal="center" vertical="center" wrapText="1"/>
    </xf>
    <xf numFmtId="0" fontId="18" fillId="9" borderId="16" xfId="0" applyFont="1" applyFill="1" applyBorder="1" applyAlignment="1" applyProtection="1">
      <alignment horizontal="center" vertical="center" wrapText="1"/>
    </xf>
    <xf numFmtId="0" fontId="18" fillId="9" borderId="17" xfId="0" applyFont="1" applyFill="1" applyBorder="1" applyAlignment="1" applyProtection="1">
      <alignment horizontal="center" vertical="center" wrapText="1"/>
    </xf>
    <xf numFmtId="0" fontId="21" fillId="4" borderId="4" xfId="0" applyFont="1" applyFill="1" applyBorder="1" applyAlignment="1" applyProtection="1">
      <alignment horizontal="center" vertical="center" wrapText="1"/>
      <protection locked="0"/>
    </xf>
    <xf numFmtId="0" fontId="17" fillId="6" borderId="4" xfId="0" applyFont="1" applyFill="1" applyBorder="1" applyAlignment="1" applyProtection="1">
      <alignment horizontal="center" vertical="center"/>
    </xf>
    <xf numFmtId="0" fontId="21" fillId="9" borderId="1" xfId="0" applyFont="1" applyFill="1" applyBorder="1" applyAlignment="1" applyProtection="1">
      <alignment horizontal="center" vertical="center" wrapText="1"/>
    </xf>
    <xf numFmtId="0" fontId="21" fillId="9" borderId="2" xfId="0" applyFont="1" applyFill="1" applyBorder="1" applyAlignment="1" applyProtection="1">
      <alignment horizontal="center" vertical="center" wrapText="1"/>
    </xf>
    <xf numFmtId="0" fontId="21" fillId="9" borderId="3" xfId="0" applyFont="1" applyFill="1" applyBorder="1" applyAlignment="1" applyProtection="1">
      <alignment horizontal="center" vertical="center" wrapText="1"/>
    </xf>
    <xf numFmtId="0" fontId="20" fillId="6" borderId="1" xfId="0" applyFont="1" applyFill="1" applyBorder="1" applyAlignment="1" applyProtection="1">
      <alignment horizontal="center" vertical="center"/>
    </xf>
    <xf numFmtId="0" fontId="20" fillId="6" borderId="2" xfId="0" applyFont="1" applyFill="1" applyBorder="1" applyAlignment="1" applyProtection="1">
      <alignment horizontal="center" vertical="center"/>
    </xf>
    <xf numFmtId="0" fontId="20" fillId="6" borderId="3" xfId="0" applyFont="1" applyFill="1" applyBorder="1" applyAlignment="1" applyProtection="1">
      <alignment horizontal="center" vertical="center"/>
    </xf>
    <xf numFmtId="0" fontId="25" fillId="2" borderId="4" xfId="0" applyFont="1" applyFill="1" applyBorder="1" applyAlignment="1" applyProtection="1">
      <alignment horizontal="center"/>
    </xf>
    <xf numFmtId="0" fontId="20" fillId="6" borderId="4" xfId="0" applyFont="1" applyFill="1" applyBorder="1" applyAlignment="1" applyProtection="1">
      <alignment horizontal="center" vertical="center"/>
    </xf>
    <xf numFmtId="0" fontId="27" fillId="7" borderId="4" xfId="0" applyFont="1" applyFill="1" applyBorder="1" applyAlignment="1" applyProtection="1">
      <alignment horizontal="center" vertical="center"/>
    </xf>
    <xf numFmtId="0" fontId="21" fillId="9" borderId="4" xfId="0" applyFont="1" applyFill="1" applyBorder="1" applyAlignment="1" applyProtection="1">
      <alignment horizontal="center" vertical="center" wrapText="1"/>
    </xf>
    <xf numFmtId="0" fontId="27" fillId="7" borderId="1" xfId="0" applyFont="1" applyFill="1" applyBorder="1" applyAlignment="1" applyProtection="1">
      <alignment horizontal="center" vertical="center"/>
    </xf>
    <xf numFmtId="0" fontId="27" fillId="7" borderId="2" xfId="0" applyFont="1" applyFill="1" applyBorder="1" applyAlignment="1" applyProtection="1">
      <alignment horizontal="center" vertical="center"/>
    </xf>
    <xf numFmtId="0" fontId="27" fillId="7" borderId="3" xfId="0" applyFont="1" applyFill="1" applyBorder="1" applyAlignment="1" applyProtection="1">
      <alignment horizontal="center" vertical="center"/>
    </xf>
    <xf numFmtId="0" fontId="21" fillId="4" borderId="1" xfId="0" applyFont="1" applyFill="1" applyBorder="1" applyAlignment="1" applyProtection="1">
      <alignment horizontal="center" vertical="center" wrapText="1"/>
      <protection locked="0"/>
    </xf>
    <xf numFmtId="0" fontId="21" fillId="4" borderId="2"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49" fontId="21" fillId="4" borderId="4" xfId="0" applyNumberFormat="1" applyFont="1" applyFill="1" applyBorder="1" applyAlignment="1" applyProtection="1">
      <alignment horizontal="center" vertical="center" wrapText="1"/>
      <protection locked="0"/>
    </xf>
    <xf numFmtId="0" fontId="35" fillId="0" borderId="0" xfId="0" applyFont="1" applyAlignment="1">
      <alignment horizontal="center"/>
    </xf>
    <xf numFmtId="0" fontId="35" fillId="0" borderId="59" xfId="0" applyFont="1" applyBorder="1" applyAlignment="1">
      <alignment horizontal="center" vertical="center"/>
    </xf>
    <xf numFmtId="0" fontId="35" fillId="0" borderId="49" xfId="0" applyFont="1" applyBorder="1" applyAlignment="1">
      <alignment horizontal="center" vertical="center"/>
    </xf>
    <xf numFmtId="0" fontId="35" fillId="0" borderId="39" xfId="0" applyFont="1" applyBorder="1" applyAlignment="1">
      <alignment horizontal="center" vertical="center"/>
    </xf>
    <xf numFmtId="0" fontId="35" fillId="0" borderId="57" xfId="0" applyFont="1" applyBorder="1" applyAlignment="1">
      <alignment horizontal="center" vertical="center"/>
    </xf>
    <xf numFmtId="0" fontId="35" fillId="0" borderId="53" xfId="0" applyFont="1" applyBorder="1" applyAlignment="1">
      <alignment horizontal="center" vertical="center"/>
    </xf>
    <xf numFmtId="0" fontId="35" fillId="0" borderId="0" xfId="0" applyFont="1" applyAlignment="1">
      <alignment horizontal="center" vertical="center" wrapText="1"/>
    </xf>
    <xf numFmtId="0" fontId="35" fillId="0" borderId="53" xfId="0" applyFont="1" applyBorder="1" applyAlignment="1">
      <alignment horizontal="center"/>
    </xf>
    <xf numFmtId="0" fontId="35" fillId="0" borderId="54" xfId="0" applyFont="1" applyBorder="1" applyAlignment="1">
      <alignment horizontal="center"/>
    </xf>
    <xf numFmtId="0" fontId="35" fillId="0" borderId="55" xfId="0" applyFont="1" applyBorder="1" applyAlignment="1">
      <alignment horizontal="center"/>
    </xf>
    <xf numFmtId="0" fontId="35" fillId="0" borderId="53" xfId="0" applyFont="1" applyBorder="1" applyAlignment="1">
      <alignment horizontal="center" vertical="center" wrapText="1"/>
    </xf>
    <xf numFmtId="0" fontId="35" fillId="0" borderId="49" xfId="0" applyFont="1" applyBorder="1" applyAlignment="1">
      <alignment horizontal="center" vertical="center" wrapText="1"/>
    </xf>
    <xf numFmtId="0" fontId="35" fillId="0" borderId="57" xfId="0" applyFont="1" applyBorder="1" applyAlignment="1">
      <alignment horizontal="center" vertical="center" wrapText="1"/>
    </xf>
    <xf numFmtId="0" fontId="35" fillId="0" borderId="49" xfId="0" applyFont="1" applyBorder="1" applyAlignment="1">
      <alignment horizontal="center"/>
    </xf>
    <xf numFmtId="0" fontId="35" fillId="0" borderId="0" xfId="0" applyFont="1" applyBorder="1" applyAlignment="1">
      <alignment horizontal="center"/>
    </xf>
    <xf numFmtId="0" fontId="24" fillId="9" borderId="15" xfId="0" applyFont="1" applyFill="1" applyBorder="1" applyAlignment="1" applyProtection="1">
      <alignment horizontal="center"/>
      <protection locked="0"/>
    </xf>
    <xf numFmtId="0" fontId="24" fillId="9" borderId="16" xfId="0" applyFont="1" applyFill="1" applyBorder="1" applyAlignment="1" applyProtection="1">
      <alignment horizontal="center"/>
      <protection locked="0"/>
    </xf>
    <xf numFmtId="0" fontId="24" fillId="9" borderId="17" xfId="0" applyFont="1" applyFill="1" applyBorder="1" applyAlignment="1" applyProtection="1">
      <alignment horizontal="center"/>
      <protection locked="0"/>
    </xf>
    <xf numFmtId="0" fontId="48" fillId="14" borderId="0" xfId="3" applyAlignment="1">
      <alignment horizontal="center"/>
    </xf>
    <xf numFmtId="0" fontId="47" fillId="12" borderId="0" xfId="2" applyAlignment="1">
      <alignment horizontal="center"/>
    </xf>
  </cellXfs>
  <cellStyles count="6">
    <cellStyle name="60% - Accent5 2" xfId="5" xr:uid="{00000000-0005-0000-0000-000000000000}"/>
    <cellStyle name="Bad 2" xfId="4" xr:uid="{00000000-0005-0000-0000-000001000000}"/>
    <cellStyle name="Good 2" xfId="2" xr:uid="{00000000-0005-0000-0000-000002000000}"/>
    <cellStyle name="Hyperlink" xfId="1" builtinId="8"/>
    <cellStyle name="Neutral 2" xfId="3" xr:uid="{00000000-0005-0000-0000-000004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5ng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lumMod val="20000"/>
                  <a:lumOff val="80000"/>
                </a:schemeClr>
              </a:solidFill>
              <a:round/>
            </a:ln>
            <a:effectLst/>
          </c:spPr>
          <c:marker>
            <c:symbol val="circle"/>
            <c:size val="5"/>
            <c:spPr>
              <a:solidFill>
                <a:schemeClr val="accent1">
                  <a:lumMod val="20000"/>
                  <a:lumOff val="80000"/>
                </a:schemeClr>
              </a:solidFill>
              <a:ln w="9525">
                <a:solidFill>
                  <a:schemeClr val="accent1">
                    <a:lumMod val="20000"/>
                    <a:lumOff val="80000"/>
                  </a:schemeClr>
                </a:solidFill>
              </a:ln>
              <a:effectLst/>
            </c:spPr>
          </c:marker>
          <c:errBars>
            <c:errDir val="y"/>
            <c:errBarType val="both"/>
            <c:errValType val="cust"/>
            <c:noEndCap val="0"/>
            <c:plus>
              <c:numRef>
                <c:f>'TASBE Data'!$AG$3:$AJ$3</c:f>
                <c:numCache>
                  <c:formatCode>General</c:formatCode>
                  <c:ptCount val="4"/>
                  <c:pt idx="0">
                    <c:v>253.98466639705399</c:v>
                  </c:pt>
                  <c:pt idx="1">
                    <c:v>318.86354962063177</c:v>
                  </c:pt>
                  <c:pt idx="2">
                    <c:v>30261.157824464903</c:v>
                  </c:pt>
                  <c:pt idx="3">
                    <c:v>1172672.9684347499</c:v>
                  </c:pt>
                </c:numCache>
              </c:numRef>
            </c:plus>
            <c:minus>
              <c:numRef>
                <c:f>'TASBE Data'!$AG$3:$AJ$3</c:f>
                <c:numCache>
                  <c:formatCode>General</c:formatCode>
                  <c:ptCount val="4"/>
                  <c:pt idx="0">
                    <c:v>253.98466639705399</c:v>
                  </c:pt>
                  <c:pt idx="1">
                    <c:v>318.86354962063177</c:v>
                  </c:pt>
                  <c:pt idx="2">
                    <c:v>30261.157824464903</c:v>
                  </c:pt>
                  <c:pt idx="3">
                    <c:v>1172672.9684347499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Data'!$AC$3,'TASBE Data'!$AD$3,'TASBE Data'!$AE$3,'TASBE Data'!$AF$3)</c:f>
              <c:numCache>
                <c:formatCode>General</c:formatCode>
                <c:ptCount val="4"/>
                <c:pt idx="0">
                  <c:v>2637.1482585521735</c:v>
                </c:pt>
                <c:pt idx="1">
                  <c:v>4007.7378796144512</c:v>
                </c:pt>
                <c:pt idx="2">
                  <c:v>422272.92536276957</c:v>
                </c:pt>
                <c:pt idx="3">
                  <c:v>160561.09012144167</c:v>
                </c:pt>
              </c:numCache>
            </c:numRef>
          </c:yVal>
          <c:smooth val="0"/>
          <c:extLst>
            <c:ext xmlns:c16="http://schemas.microsoft.com/office/drawing/2014/chart" uri="{C3380CC4-5D6E-409C-BE32-E72D297353CC}">
              <c16:uniqueId val="{00000000-CD10-40B8-982E-A723FB181540}"/>
            </c:ext>
          </c:extLst>
        </c:ser>
        <c:ser>
          <c:idx val="1"/>
          <c:order val="1"/>
          <c:tx>
            <c:v>0-</c:v>
          </c:tx>
          <c:spPr>
            <a:ln w="19050" cap="rnd">
              <a:solidFill>
                <a:srgbClr val="FFCCCC"/>
              </a:solidFill>
              <a:round/>
            </a:ln>
            <a:effectLst/>
          </c:spPr>
          <c:marker>
            <c:symbol val="circle"/>
            <c:size val="5"/>
            <c:spPr>
              <a:solidFill>
                <a:srgbClr val="FFCCCC"/>
              </a:solidFill>
              <a:ln w="9525">
                <a:solidFill>
                  <a:srgbClr val="FFCCCC"/>
                </a:solidFill>
              </a:ln>
              <a:effectLst/>
            </c:spPr>
          </c:marker>
          <c:errBars>
            <c:errDir val="y"/>
            <c:errBarType val="both"/>
            <c:errValType val="cust"/>
            <c:noEndCap val="0"/>
            <c:plus>
              <c:numRef>
                <c:f>'TASBE Data'!$AG$4:$AJ$4</c:f>
                <c:numCache>
                  <c:formatCode>General</c:formatCode>
                  <c:ptCount val="4"/>
                  <c:pt idx="0">
                    <c:v>198.71004700387718</c:v>
                  </c:pt>
                  <c:pt idx="1">
                    <c:v>636.94664619791047</c:v>
                  </c:pt>
                  <c:pt idx="2">
                    <c:v>454.97927748741915</c:v>
                  </c:pt>
                  <c:pt idx="3">
                    <c:v>9082.7539379201316</c:v>
                  </c:pt>
                </c:numCache>
              </c:numRef>
            </c:plus>
            <c:minus>
              <c:numRef>
                <c:f>'TASBE Data'!$AG$4:$AJ$4</c:f>
                <c:numCache>
                  <c:formatCode>General</c:formatCode>
                  <c:ptCount val="4"/>
                  <c:pt idx="0">
                    <c:v>198.71004700387718</c:v>
                  </c:pt>
                  <c:pt idx="1">
                    <c:v>636.94664619791047</c:v>
                  </c:pt>
                  <c:pt idx="2">
                    <c:v>454.97927748741915</c:v>
                  </c:pt>
                  <c:pt idx="3">
                    <c:v>9082.7539379201316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Data'!$AC$4,'TASBE Data'!$AD$4,'TASBE Data'!$AE$4,'TASBE Data'!$AF$4)</c:f>
              <c:numCache>
                <c:formatCode>General</c:formatCode>
                <c:ptCount val="4"/>
                <c:pt idx="0">
                  <c:v>2667.0850506812085</c:v>
                </c:pt>
                <c:pt idx="1">
                  <c:v>2979.4677071750029</c:v>
                </c:pt>
                <c:pt idx="2">
                  <c:v>15083.747011058394</c:v>
                </c:pt>
                <c:pt idx="3">
                  <c:v>38131.280371647801</c:v>
                </c:pt>
              </c:numCache>
            </c:numRef>
          </c:yVal>
          <c:smooth val="0"/>
          <c:extLst>
            <c:ext xmlns:c16="http://schemas.microsoft.com/office/drawing/2014/chart" uri="{C3380CC4-5D6E-409C-BE32-E72D297353CC}">
              <c16:uniqueId val="{00000001-CD10-40B8-982E-A723FB181540}"/>
            </c:ext>
          </c:extLst>
        </c:ser>
        <c:ser>
          <c:idx val="2"/>
          <c:order val="2"/>
          <c:tx>
            <c:v>1+</c:v>
          </c:tx>
          <c:spPr>
            <a:ln w="19050" cap="rnd">
              <a:solidFill>
                <a:schemeClr val="accent1">
                  <a:lumMod val="40000"/>
                  <a:lumOff val="60000"/>
                </a:schemeClr>
              </a:solidFill>
              <a:round/>
            </a:ln>
            <a:effectLst/>
          </c:spPr>
          <c:marker>
            <c:symbol val="circle"/>
            <c:size val="5"/>
            <c:spPr>
              <a:solidFill>
                <a:schemeClr val="accent1">
                  <a:lumMod val="40000"/>
                  <a:lumOff val="60000"/>
                </a:schemeClr>
              </a:solidFill>
              <a:ln w="9525">
                <a:solidFill>
                  <a:schemeClr val="accent1">
                    <a:lumMod val="40000"/>
                    <a:lumOff val="60000"/>
                  </a:schemeClr>
                </a:solidFill>
              </a:ln>
              <a:effectLst/>
            </c:spPr>
          </c:marker>
          <c:errBars>
            <c:errDir val="y"/>
            <c:errBarType val="both"/>
            <c:errValType val="cust"/>
            <c:noEndCap val="0"/>
            <c:plus>
              <c:numRef>
                <c:f>'TASBE Data'!$AG$5:$AJ$5</c:f>
                <c:numCache>
                  <c:formatCode>General</c:formatCode>
                  <c:ptCount val="4"/>
                  <c:pt idx="0">
                    <c:v>57.764229698994065</c:v>
                  </c:pt>
                  <c:pt idx="1">
                    <c:v>68.463874816728776</c:v>
                  </c:pt>
                  <c:pt idx="2">
                    <c:v>48901.66172672325</c:v>
                  </c:pt>
                  <c:pt idx="3">
                    <c:v>69837.755816481338</c:v>
                  </c:pt>
                </c:numCache>
              </c:numRef>
            </c:plus>
            <c:minus>
              <c:numRef>
                <c:f>'TASBE Data'!$AG$5:$AJ$5</c:f>
                <c:numCache>
                  <c:formatCode>General</c:formatCode>
                  <c:ptCount val="4"/>
                  <c:pt idx="0">
                    <c:v>57.764229698994065</c:v>
                  </c:pt>
                  <c:pt idx="1">
                    <c:v>68.463874816728776</c:v>
                  </c:pt>
                  <c:pt idx="2">
                    <c:v>48901.66172672325</c:v>
                  </c:pt>
                  <c:pt idx="3">
                    <c:v>69837.755816481338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Data'!$AC$5,'TASBE Data'!$AD$5,'TASBE Data'!$AE$5,'TASBE Data'!$AF$5)</c:f>
              <c:numCache>
                <c:formatCode>General</c:formatCode>
                <c:ptCount val="4"/>
                <c:pt idx="0">
                  <c:v>2533.878732082736</c:v>
                </c:pt>
                <c:pt idx="1">
                  <c:v>3707.8431001409663</c:v>
                </c:pt>
                <c:pt idx="2">
                  <c:v>237973.87853696672</c:v>
                </c:pt>
                <c:pt idx="3">
                  <c:v>353989.34922113345</c:v>
                </c:pt>
              </c:numCache>
            </c:numRef>
          </c:yVal>
          <c:smooth val="0"/>
          <c:extLst>
            <c:ext xmlns:c16="http://schemas.microsoft.com/office/drawing/2014/chart" uri="{C3380CC4-5D6E-409C-BE32-E72D297353CC}">
              <c16:uniqueId val="{00000002-CD10-40B8-982E-A723FB181540}"/>
            </c:ext>
          </c:extLst>
        </c:ser>
        <c:ser>
          <c:idx val="3"/>
          <c:order val="3"/>
          <c:tx>
            <c:v>1-</c:v>
          </c:tx>
          <c:spPr>
            <a:ln w="19050" cap="rnd">
              <a:solidFill>
                <a:srgbClr val="FF9999"/>
              </a:solidFill>
              <a:round/>
            </a:ln>
            <a:effectLst/>
          </c:spPr>
          <c:marker>
            <c:symbol val="circle"/>
            <c:size val="5"/>
            <c:spPr>
              <a:solidFill>
                <a:srgbClr val="FF9999"/>
              </a:solidFill>
              <a:ln w="9525">
                <a:solidFill>
                  <a:srgbClr val="FF9999"/>
                </a:solidFill>
              </a:ln>
              <a:effectLst/>
            </c:spPr>
          </c:marker>
          <c:errBars>
            <c:errDir val="y"/>
            <c:errBarType val="both"/>
            <c:errValType val="cust"/>
            <c:noEndCap val="0"/>
            <c:plus>
              <c:numRef>
                <c:f>'TASBE Data'!$AG$6:$AJ$6</c:f>
                <c:numCache>
                  <c:formatCode>General</c:formatCode>
                  <c:ptCount val="4"/>
                  <c:pt idx="0">
                    <c:v>110.25459594001552</c:v>
                  </c:pt>
                  <c:pt idx="1">
                    <c:v>110.47864143416952</c:v>
                  </c:pt>
                  <c:pt idx="2">
                    <c:v>173.55845904784184</c:v>
                  </c:pt>
                  <c:pt idx="3">
                    <c:v>2498.494916512876</c:v>
                  </c:pt>
                </c:numCache>
              </c:numRef>
            </c:plus>
            <c:minus>
              <c:numRef>
                <c:f>'TASBE Data'!$AG$6:$AJ$6</c:f>
                <c:numCache>
                  <c:formatCode>General</c:formatCode>
                  <c:ptCount val="4"/>
                  <c:pt idx="0">
                    <c:v>110.25459594001552</c:v>
                  </c:pt>
                  <c:pt idx="1">
                    <c:v>110.47864143416952</c:v>
                  </c:pt>
                  <c:pt idx="2">
                    <c:v>173.55845904784184</c:v>
                  </c:pt>
                  <c:pt idx="3">
                    <c:v>2498.494916512876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Data'!$AC$6,'TASBE Data'!$AD$6,'TASBE Data'!$AE$6,'TASBE Data'!$AF$6)</c:f>
              <c:numCache>
                <c:formatCode>General</c:formatCode>
                <c:ptCount val="4"/>
                <c:pt idx="0">
                  <c:v>2695.5103978233055</c:v>
                </c:pt>
                <c:pt idx="1">
                  <c:v>2676.5371999016488</c:v>
                </c:pt>
                <c:pt idx="2">
                  <c:v>5540.5211022648273</c:v>
                </c:pt>
                <c:pt idx="3">
                  <c:v>6861.1970966903282</c:v>
                </c:pt>
              </c:numCache>
            </c:numRef>
          </c:yVal>
          <c:smooth val="0"/>
          <c:extLst>
            <c:ext xmlns:c16="http://schemas.microsoft.com/office/drawing/2014/chart" uri="{C3380CC4-5D6E-409C-BE32-E72D297353CC}">
              <c16:uniqueId val="{00000003-CD10-40B8-982E-A723FB181540}"/>
            </c:ext>
          </c:extLst>
        </c:ser>
        <c:ser>
          <c:idx val="4"/>
          <c:order val="4"/>
          <c:tx>
            <c:v>5+</c:v>
          </c:tx>
          <c:spPr>
            <a:ln w="1905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errBars>
            <c:errDir val="y"/>
            <c:errBarType val="both"/>
            <c:errValType val="cust"/>
            <c:noEndCap val="0"/>
            <c:plus>
              <c:numRef>
                <c:f>'TASBE Data'!$AG$7:$AJ$7</c:f>
                <c:numCache>
                  <c:formatCode>General</c:formatCode>
                  <c:ptCount val="4"/>
                  <c:pt idx="0">
                    <c:v>72.397576584015226</c:v>
                  </c:pt>
                  <c:pt idx="1">
                    <c:v>85.445484875497371</c:v>
                  </c:pt>
                  <c:pt idx="2">
                    <c:v>7706.8519574368911</c:v>
                  </c:pt>
                  <c:pt idx="3">
                    <c:v>15989.61574830692</c:v>
                  </c:pt>
                </c:numCache>
              </c:numRef>
            </c:plus>
            <c:minus>
              <c:numRef>
                <c:f>'TASBE Data'!$AG$7:$AJ$7</c:f>
                <c:numCache>
                  <c:formatCode>General</c:formatCode>
                  <c:ptCount val="4"/>
                  <c:pt idx="0">
                    <c:v>72.397576584015226</c:v>
                  </c:pt>
                  <c:pt idx="1">
                    <c:v>85.445484875497371</c:v>
                  </c:pt>
                  <c:pt idx="2">
                    <c:v>7706.8519574368911</c:v>
                  </c:pt>
                  <c:pt idx="3">
                    <c:v>15989.61574830692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Data'!$AC$7,'TASBE Data'!$AD$7,'TASBE Data'!$AE$7,'TASBE Data'!$AF$7)</c:f>
              <c:numCache>
                <c:formatCode>General</c:formatCode>
                <c:ptCount val="4"/>
                <c:pt idx="0">
                  <c:v>2609.8471199283053</c:v>
                </c:pt>
                <c:pt idx="1">
                  <c:v>3123.1400914313872</c:v>
                </c:pt>
                <c:pt idx="2">
                  <c:v>74280.147664009943</c:v>
                </c:pt>
                <c:pt idx="3">
                  <c:v>100710.98607819123</c:v>
                </c:pt>
              </c:numCache>
            </c:numRef>
          </c:yVal>
          <c:smooth val="0"/>
          <c:extLst>
            <c:ext xmlns:c16="http://schemas.microsoft.com/office/drawing/2014/chart" uri="{C3380CC4-5D6E-409C-BE32-E72D297353CC}">
              <c16:uniqueId val="{00000004-CD10-40B8-982E-A723FB181540}"/>
            </c:ext>
          </c:extLst>
        </c:ser>
        <c:ser>
          <c:idx val="5"/>
          <c:order val="5"/>
          <c:tx>
            <c:v>5-</c:v>
          </c:tx>
          <c:spPr>
            <a:ln w="19050" cap="rnd">
              <a:solidFill>
                <a:srgbClr val="FF7C80"/>
              </a:solidFill>
              <a:round/>
            </a:ln>
            <a:effectLst/>
          </c:spPr>
          <c:marker>
            <c:symbol val="circle"/>
            <c:size val="5"/>
            <c:spPr>
              <a:solidFill>
                <a:srgbClr val="FF7C80"/>
              </a:solidFill>
              <a:ln w="9525">
                <a:solidFill>
                  <a:srgbClr val="FF7C80"/>
                </a:solidFill>
              </a:ln>
              <a:effectLst/>
            </c:spPr>
          </c:marker>
          <c:errBars>
            <c:errDir val="y"/>
            <c:errBarType val="both"/>
            <c:errValType val="cust"/>
            <c:noEndCap val="0"/>
            <c:plus>
              <c:numRef>
                <c:f>'TASBE Data'!$AG$8:$AJ$8</c:f>
                <c:numCache>
                  <c:formatCode>General</c:formatCode>
                  <c:ptCount val="4"/>
                  <c:pt idx="0">
                    <c:v>17.81631298105593</c:v>
                  </c:pt>
                  <c:pt idx="1">
                    <c:v>18.898002846631421</c:v>
                  </c:pt>
                  <c:pt idx="2">
                    <c:v>84.575753085745134</c:v>
                  </c:pt>
                  <c:pt idx="3">
                    <c:v>208.36509626031688</c:v>
                  </c:pt>
                </c:numCache>
              </c:numRef>
            </c:plus>
            <c:minus>
              <c:numRef>
                <c:f>'TASBE Data'!$AG$8:$AJ$8</c:f>
                <c:numCache>
                  <c:formatCode>General</c:formatCode>
                  <c:ptCount val="4"/>
                  <c:pt idx="0">
                    <c:v>17.81631298105593</c:v>
                  </c:pt>
                  <c:pt idx="1">
                    <c:v>18.898002846631421</c:v>
                  </c:pt>
                  <c:pt idx="2">
                    <c:v>84.575753085745134</c:v>
                  </c:pt>
                  <c:pt idx="3">
                    <c:v>208.36509626031688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Data'!$AC$8,'TASBE Data'!$AD$8,'TASBE Data'!$AE$8,'TASBE Data'!$AF$8)</c:f>
              <c:numCache>
                <c:formatCode>General</c:formatCode>
                <c:ptCount val="4"/>
                <c:pt idx="0">
                  <c:v>2862.3975814993669</c:v>
                </c:pt>
                <c:pt idx="1">
                  <c:v>2600.7184545708533</c:v>
                </c:pt>
                <c:pt idx="2">
                  <c:v>5210.7228919400559</c:v>
                </c:pt>
                <c:pt idx="3">
                  <c:v>7525.175561442612</c:v>
                </c:pt>
              </c:numCache>
            </c:numRef>
          </c:yVal>
          <c:smooth val="0"/>
          <c:extLst>
            <c:ext xmlns:c16="http://schemas.microsoft.com/office/drawing/2014/chart" uri="{C3380CC4-5D6E-409C-BE32-E72D297353CC}">
              <c16:uniqueId val="{00000005-CD10-40B8-982E-A723FB181540}"/>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cust"/>
            <c:noEndCap val="0"/>
            <c:plus>
              <c:numRef>
                <c:f>'TASBE Data'!$AG$9:$AJ$9</c:f>
                <c:numCache>
                  <c:formatCode>General</c:formatCode>
                  <c:ptCount val="4"/>
                  <c:pt idx="0">
                    <c:v>46.561923077580708</c:v>
                  </c:pt>
                  <c:pt idx="1">
                    <c:v>35.151124009497288</c:v>
                  </c:pt>
                  <c:pt idx="2">
                    <c:v>2898.7780550663242</c:v>
                  </c:pt>
                  <c:pt idx="3">
                    <c:v>1532.5040191262137</c:v>
                  </c:pt>
                </c:numCache>
              </c:numRef>
            </c:plus>
            <c:minus>
              <c:numRef>
                <c:f>'TASBE Data'!$AG$9:$AJ$9</c:f>
                <c:numCache>
                  <c:formatCode>General</c:formatCode>
                  <c:ptCount val="4"/>
                  <c:pt idx="0">
                    <c:v>46.561923077580708</c:v>
                  </c:pt>
                  <c:pt idx="1">
                    <c:v>35.151124009497288</c:v>
                  </c:pt>
                  <c:pt idx="2">
                    <c:v>2898.7780550663242</c:v>
                  </c:pt>
                  <c:pt idx="3">
                    <c:v>1532.5040191262137</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Data'!$AC$9,'TASBE Data'!$AD$9,'TASBE Data'!$AE$9,'TASBE Data'!$AF$9)</c:f>
              <c:numCache>
                <c:formatCode>General</c:formatCode>
                <c:ptCount val="4"/>
                <c:pt idx="0">
                  <c:v>2605.593611171942</c:v>
                </c:pt>
                <c:pt idx="1">
                  <c:v>3024.3078192711955</c:v>
                </c:pt>
                <c:pt idx="2">
                  <c:v>41470.218220971634</c:v>
                </c:pt>
                <c:pt idx="3">
                  <c:v>54204.664610153282</c:v>
                </c:pt>
              </c:numCache>
            </c:numRef>
          </c:yVal>
          <c:smooth val="0"/>
          <c:extLst>
            <c:ext xmlns:c16="http://schemas.microsoft.com/office/drawing/2014/chart" uri="{C3380CC4-5D6E-409C-BE32-E72D297353CC}">
              <c16:uniqueId val="{00000006-CD10-40B8-982E-A723FB181540}"/>
            </c:ext>
          </c:extLst>
        </c:ser>
        <c:ser>
          <c:idx val="7"/>
          <c:order val="7"/>
          <c:tx>
            <c:v>10-</c:v>
          </c:tx>
          <c:spPr>
            <a:ln w="19050" cap="rnd">
              <a:solidFill>
                <a:srgbClr val="FF5050"/>
              </a:solidFill>
              <a:round/>
            </a:ln>
            <a:effectLst/>
          </c:spPr>
          <c:marker>
            <c:symbol val="circle"/>
            <c:size val="5"/>
            <c:spPr>
              <a:solidFill>
                <a:srgbClr val="FF5050"/>
              </a:solidFill>
              <a:ln w="9525">
                <a:solidFill>
                  <a:srgbClr val="FF5050"/>
                </a:solidFill>
              </a:ln>
              <a:effectLst/>
            </c:spPr>
          </c:marker>
          <c:errBars>
            <c:errDir val="y"/>
            <c:errBarType val="both"/>
            <c:errValType val="cust"/>
            <c:noEndCap val="0"/>
            <c:plus>
              <c:numRef>
                <c:f>'TASBE Data'!$AG$10:$AJ$10</c:f>
                <c:numCache>
                  <c:formatCode>General</c:formatCode>
                  <c:ptCount val="4"/>
                  <c:pt idx="0">
                    <c:v>23.442787144062248</c:v>
                  </c:pt>
                  <c:pt idx="1">
                    <c:v>38.648033647569839</c:v>
                  </c:pt>
                  <c:pt idx="2">
                    <c:v>82.458532954490366</c:v>
                  </c:pt>
                  <c:pt idx="3">
                    <c:v>120.67659891154085</c:v>
                  </c:pt>
                </c:numCache>
              </c:numRef>
            </c:plus>
            <c:minus>
              <c:numRef>
                <c:f>'TASBE Data'!$AG$10:$AJ$10</c:f>
                <c:numCache>
                  <c:formatCode>General</c:formatCode>
                  <c:ptCount val="4"/>
                  <c:pt idx="0">
                    <c:v>23.442787144062248</c:v>
                  </c:pt>
                  <c:pt idx="1">
                    <c:v>38.648033647569839</c:v>
                  </c:pt>
                  <c:pt idx="2">
                    <c:v>82.458532954490366</c:v>
                  </c:pt>
                  <c:pt idx="3">
                    <c:v>120.67659891154085</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Data'!$AC$10,'TASBE Data'!$AD$10,'TASBE Data'!$AE$10,'TASBE Data'!$AF$10)</c:f>
              <c:numCache>
                <c:formatCode>General</c:formatCode>
                <c:ptCount val="4"/>
                <c:pt idx="0">
                  <c:v>2758.1956745871685</c:v>
                </c:pt>
                <c:pt idx="1">
                  <c:v>2671.9660989992763</c:v>
                </c:pt>
                <c:pt idx="2">
                  <c:v>4792.824396990869</c:v>
                </c:pt>
                <c:pt idx="3">
                  <c:v>6884.4253939600912</c:v>
                </c:pt>
              </c:numCache>
            </c:numRef>
          </c:yVal>
          <c:smooth val="0"/>
          <c:extLst>
            <c:ext xmlns:c16="http://schemas.microsoft.com/office/drawing/2014/chart" uri="{C3380CC4-5D6E-409C-BE32-E72D297353CC}">
              <c16:uniqueId val="{00000007-CD10-40B8-982E-A723FB181540}"/>
            </c:ext>
          </c:extLst>
        </c:ser>
        <c:ser>
          <c:idx val="8"/>
          <c:order val="8"/>
          <c:tx>
            <c:v>20+</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errBars>
            <c:errDir val="y"/>
            <c:errBarType val="both"/>
            <c:errValType val="cust"/>
            <c:noEndCap val="0"/>
            <c:plus>
              <c:numRef>
                <c:f>'TASBE Data'!$AG$11:$AJ$11</c:f>
                <c:numCache>
                  <c:formatCode>General</c:formatCode>
                  <c:ptCount val="4"/>
                  <c:pt idx="0">
                    <c:v>118.13171571536297</c:v>
                  </c:pt>
                  <c:pt idx="1">
                    <c:v>551.79543323286032</c:v>
                  </c:pt>
                  <c:pt idx="2">
                    <c:v>34555.417193772002</c:v>
                  </c:pt>
                  <c:pt idx="3">
                    <c:v>1744.4648974524591</c:v>
                  </c:pt>
                </c:numCache>
              </c:numRef>
            </c:plus>
            <c:minus>
              <c:numRef>
                <c:f>'TASBE Data'!$AG$11:$AJ$11</c:f>
                <c:numCache>
                  <c:formatCode>General</c:formatCode>
                  <c:ptCount val="4"/>
                  <c:pt idx="0">
                    <c:v>118.13171571536297</c:v>
                  </c:pt>
                  <c:pt idx="1">
                    <c:v>551.79543323286032</c:v>
                  </c:pt>
                  <c:pt idx="2">
                    <c:v>34555.417193772002</c:v>
                  </c:pt>
                  <c:pt idx="3">
                    <c:v>1744.4648974524591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Data'!$AC$11,'TASBE Data'!$AD$11,'TASBE Data'!$AD$11,'TASBE Data'!$AE$11,'TASBE Data'!$AF$11)</c:f>
              <c:numCache>
                <c:formatCode>General</c:formatCode>
                <c:ptCount val="5"/>
                <c:pt idx="0">
                  <c:v>2635.4773295005434</c:v>
                </c:pt>
                <c:pt idx="1">
                  <c:v>3291.6653022892547</c:v>
                </c:pt>
                <c:pt idx="2">
                  <c:v>3291.6653022892547</c:v>
                </c:pt>
                <c:pt idx="3">
                  <c:v>12106.968945580662</c:v>
                </c:pt>
                <c:pt idx="4">
                  <c:v>31516.916297017942</c:v>
                </c:pt>
              </c:numCache>
            </c:numRef>
          </c:yVal>
          <c:smooth val="0"/>
          <c:extLst>
            <c:ext xmlns:c16="http://schemas.microsoft.com/office/drawing/2014/chart" uri="{C3380CC4-5D6E-409C-BE32-E72D297353CC}">
              <c16:uniqueId val="{00000008-CD10-40B8-982E-A723FB181540}"/>
            </c:ext>
          </c:extLst>
        </c:ser>
        <c:ser>
          <c:idx val="9"/>
          <c:order val="9"/>
          <c:tx>
            <c:v>20-</c:v>
          </c:tx>
          <c:spPr>
            <a:ln w="19050" cap="rnd">
              <a:solidFill>
                <a:srgbClr val="CC0000"/>
              </a:solidFill>
              <a:round/>
            </a:ln>
            <a:effectLst/>
          </c:spPr>
          <c:marker>
            <c:symbol val="circle"/>
            <c:size val="5"/>
            <c:spPr>
              <a:solidFill>
                <a:srgbClr val="CC0000"/>
              </a:solidFill>
              <a:ln w="9525">
                <a:solidFill>
                  <a:srgbClr val="CC0000"/>
                </a:solidFill>
              </a:ln>
              <a:effectLst/>
            </c:spPr>
          </c:marker>
          <c:errBars>
            <c:errDir val="y"/>
            <c:errBarType val="both"/>
            <c:errValType val="cust"/>
            <c:noEndCap val="0"/>
            <c:plus>
              <c:numRef>
                <c:f>'TASBE Data'!$AG$12:$AJ$12</c:f>
                <c:numCache>
                  <c:formatCode>General</c:formatCode>
                  <c:ptCount val="4"/>
                  <c:pt idx="0">
                    <c:v>65.199441469111719</c:v>
                  </c:pt>
                  <c:pt idx="1">
                    <c:v>38.372874556479218</c:v>
                  </c:pt>
                  <c:pt idx="2">
                    <c:v>221.87949738274966</c:v>
                  </c:pt>
                  <c:pt idx="3">
                    <c:v>360.84755228017519</c:v>
                  </c:pt>
                </c:numCache>
              </c:numRef>
            </c:plus>
            <c:minus>
              <c:numRef>
                <c:f>'TASBE Data'!$AG$12:$AJ$12</c:f>
                <c:numCache>
                  <c:formatCode>General</c:formatCode>
                  <c:ptCount val="4"/>
                  <c:pt idx="0">
                    <c:v>65.199441469111719</c:v>
                  </c:pt>
                  <c:pt idx="1">
                    <c:v>38.372874556479218</c:v>
                  </c:pt>
                  <c:pt idx="2">
                    <c:v>221.87949738274966</c:v>
                  </c:pt>
                  <c:pt idx="3">
                    <c:v>360.84755228017519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Data'!$AC$12,'TASBE Data'!$AD$12,'TASBE Data'!$AE$12,'TASBE Data'!$AF$12)</c:f>
              <c:numCache>
                <c:formatCode>General</c:formatCode>
                <c:ptCount val="4"/>
                <c:pt idx="0">
                  <c:v>2617.3587103535137</c:v>
                </c:pt>
                <c:pt idx="1">
                  <c:v>2548.2700035369016</c:v>
                </c:pt>
                <c:pt idx="2">
                  <c:v>4534.6577472824292</c:v>
                </c:pt>
                <c:pt idx="3">
                  <c:v>6215.5186349361175</c:v>
                </c:pt>
              </c:numCache>
            </c:numRef>
          </c:yVal>
          <c:smooth val="0"/>
          <c:extLst>
            <c:ext xmlns:c16="http://schemas.microsoft.com/office/drawing/2014/chart" uri="{C3380CC4-5D6E-409C-BE32-E72D297353CC}">
              <c16:uniqueId val="{00000009-CD10-40B8-982E-A723FB181540}"/>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ax val="10000000"/>
          <c:min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lumMod val="20000"/>
                  <a:lumOff val="80000"/>
                </a:schemeClr>
              </a:solidFill>
              <a:round/>
            </a:ln>
            <a:effectLst/>
          </c:spPr>
          <c:marker>
            <c:symbol val="circle"/>
            <c:size val="5"/>
            <c:spPr>
              <a:solidFill>
                <a:schemeClr val="accent1">
                  <a:lumMod val="20000"/>
                  <a:lumOff val="80000"/>
                </a:schemeClr>
              </a:solidFill>
              <a:ln w="9525">
                <a:solidFill>
                  <a:schemeClr val="accent1">
                    <a:lumMod val="20000"/>
                    <a:lumOff val="80000"/>
                  </a:schemeClr>
                </a:solidFill>
              </a:ln>
              <a:effectLst/>
            </c:spPr>
          </c:marker>
          <c:errBars>
            <c:errDir val="y"/>
            <c:errBarType val="both"/>
            <c:errValType val="cust"/>
            <c:noEndCap val="0"/>
            <c:plus>
              <c:numRef>
                <c:f>'TASBE Data'!$AG$13:$AJ$13</c:f>
                <c:numCache>
                  <c:formatCode>General</c:formatCode>
                  <c:ptCount val="4"/>
                  <c:pt idx="0">
                    <c:v>92.666846536160065</c:v>
                  </c:pt>
                  <c:pt idx="1">
                    <c:v>107.42266183141372</c:v>
                  </c:pt>
                  <c:pt idx="2">
                    <c:v>223875.52662073565</c:v>
                  </c:pt>
                  <c:pt idx="3">
                    <c:v>71309.697315083002</c:v>
                  </c:pt>
                </c:numCache>
              </c:numRef>
            </c:plus>
            <c:minus>
              <c:numRef>
                <c:f>'TASBE Data'!$AG$13:$AJ$13</c:f>
                <c:numCache>
                  <c:formatCode>General</c:formatCode>
                  <c:ptCount val="4"/>
                  <c:pt idx="0">
                    <c:v>92.666846536160065</c:v>
                  </c:pt>
                  <c:pt idx="1">
                    <c:v>107.42266183141372</c:v>
                  </c:pt>
                  <c:pt idx="2">
                    <c:v>223875.52662073565</c:v>
                  </c:pt>
                  <c:pt idx="3">
                    <c:v>71309.697315083002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Data'!$AC$13,'TASBE Data'!$AD$13,'TASBE Data'!$AE$13,'TASBE Data'!$AF$13)</c:f>
              <c:numCache>
                <c:formatCode>General</c:formatCode>
                <c:ptCount val="4"/>
                <c:pt idx="0">
                  <c:v>2763.6625066566685</c:v>
                </c:pt>
                <c:pt idx="1">
                  <c:v>6209.2766326425117</c:v>
                </c:pt>
                <c:pt idx="2">
                  <c:v>797520.94247658201</c:v>
                </c:pt>
                <c:pt idx="3">
                  <c:v>771455.11447904306</c:v>
                </c:pt>
              </c:numCache>
            </c:numRef>
          </c:yVal>
          <c:smooth val="0"/>
          <c:extLst>
            <c:ext xmlns:c16="http://schemas.microsoft.com/office/drawing/2014/chart" uri="{C3380CC4-5D6E-409C-BE32-E72D297353CC}">
              <c16:uniqueId val="{00000000-7576-4DE0-B6AF-9342F392EE2A}"/>
            </c:ext>
          </c:extLst>
        </c:ser>
        <c:ser>
          <c:idx val="1"/>
          <c:order val="1"/>
          <c:tx>
            <c:v>0-</c:v>
          </c:tx>
          <c:spPr>
            <a:ln w="19050" cap="rnd">
              <a:solidFill>
                <a:srgbClr val="FFCCCC"/>
              </a:solidFill>
              <a:round/>
            </a:ln>
            <a:effectLst/>
          </c:spPr>
          <c:marker>
            <c:symbol val="circle"/>
            <c:size val="5"/>
            <c:spPr>
              <a:solidFill>
                <a:srgbClr val="FFCCCC"/>
              </a:solidFill>
              <a:ln w="9525">
                <a:solidFill>
                  <a:srgbClr val="FFCCCC"/>
                </a:solidFill>
              </a:ln>
              <a:effectLst/>
            </c:spPr>
          </c:marker>
          <c:errBars>
            <c:errDir val="y"/>
            <c:errBarType val="both"/>
            <c:errValType val="cust"/>
            <c:noEndCap val="0"/>
            <c:plus>
              <c:numRef>
                <c:f>'TASBE Data'!$AG$14:$AJ$14</c:f>
                <c:numCache>
                  <c:formatCode>General</c:formatCode>
                  <c:ptCount val="4"/>
                  <c:pt idx="0">
                    <c:v>94.63468148853292</c:v>
                  </c:pt>
                  <c:pt idx="1">
                    <c:v>87.580479048794103</c:v>
                  </c:pt>
                  <c:pt idx="2">
                    <c:v>5142.5105483045545</c:v>
                  </c:pt>
                  <c:pt idx="3">
                    <c:v>9587.2474564463191</c:v>
                  </c:pt>
                </c:numCache>
              </c:numRef>
            </c:plus>
            <c:minus>
              <c:numRef>
                <c:f>'TASBE Data'!$AG$14:$AJ$14</c:f>
                <c:numCache>
                  <c:formatCode>General</c:formatCode>
                  <c:ptCount val="4"/>
                  <c:pt idx="0">
                    <c:v>94.63468148853292</c:v>
                  </c:pt>
                  <c:pt idx="1">
                    <c:v>87.580479048794103</c:v>
                  </c:pt>
                  <c:pt idx="2">
                    <c:v>5142.5105483045545</c:v>
                  </c:pt>
                  <c:pt idx="3">
                    <c:v>9587.2474564463191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Data'!$AC$14,'TASBE Data'!$AD$14,'TASBE Data'!$AE$14,'TASBE Data'!$AF$14)</c:f>
              <c:numCache>
                <c:formatCode>General</c:formatCode>
                <c:ptCount val="4"/>
                <c:pt idx="0">
                  <c:v>2678.1116140890949</c:v>
                </c:pt>
                <c:pt idx="1">
                  <c:v>2657.2721273836701</c:v>
                </c:pt>
                <c:pt idx="2">
                  <c:v>50231.272140104586</c:v>
                </c:pt>
                <c:pt idx="3">
                  <c:v>94027.215478114682</c:v>
                </c:pt>
              </c:numCache>
            </c:numRef>
          </c:yVal>
          <c:smooth val="0"/>
          <c:extLst>
            <c:ext xmlns:c16="http://schemas.microsoft.com/office/drawing/2014/chart" uri="{C3380CC4-5D6E-409C-BE32-E72D297353CC}">
              <c16:uniqueId val="{00000001-7576-4DE0-B6AF-9342F392EE2A}"/>
            </c:ext>
          </c:extLst>
        </c:ser>
        <c:ser>
          <c:idx val="2"/>
          <c:order val="2"/>
          <c:tx>
            <c:v>1+</c:v>
          </c:tx>
          <c:spPr>
            <a:ln w="19050" cap="rnd">
              <a:solidFill>
                <a:schemeClr val="accent1">
                  <a:lumMod val="40000"/>
                  <a:lumOff val="60000"/>
                </a:schemeClr>
              </a:solidFill>
              <a:round/>
            </a:ln>
            <a:effectLst/>
          </c:spPr>
          <c:marker>
            <c:symbol val="circle"/>
            <c:size val="5"/>
            <c:spPr>
              <a:solidFill>
                <a:schemeClr val="accent1">
                  <a:lumMod val="40000"/>
                  <a:lumOff val="60000"/>
                </a:schemeClr>
              </a:solidFill>
              <a:ln w="9525">
                <a:solidFill>
                  <a:schemeClr val="accent1">
                    <a:lumMod val="40000"/>
                    <a:lumOff val="60000"/>
                  </a:schemeClr>
                </a:solidFill>
              </a:ln>
              <a:effectLst/>
            </c:spPr>
          </c:marker>
          <c:errBars>
            <c:errDir val="y"/>
            <c:errBarType val="both"/>
            <c:errValType val="cust"/>
            <c:noEndCap val="0"/>
            <c:plus>
              <c:numRef>
                <c:f>'TASBE Data'!$AG$15:$AJ$15</c:f>
                <c:numCache>
                  <c:formatCode>General</c:formatCode>
                  <c:ptCount val="4"/>
                  <c:pt idx="0">
                    <c:v>109.27548437749772</c:v>
                  </c:pt>
                  <c:pt idx="1">
                    <c:v>233.0575908865514</c:v>
                  </c:pt>
                  <c:pt idx="2">
                    <c:v>93618.047635424431</c:v>
                  </c:pt>
                  <c:pt idx="3">
                    <c:v>252038.8235017719</c:v>
                  </c:pt>
                </c:numCache>
              </c:numRef>
            </c:plus>
            <c:minus>
              <c:numRef>
                <c:f>'TASBE Data'!$AG$15:$AJ$15</c:f>
                <c:numCache>
                  <c:formatCode>General</c:formatCode>
                  <c:ptCount val="4"/>
                  <c:pt idx="0">
                    <c:v>109.27548437749772</c:v>
                  </c:pt>
                  <c:pt idx="1">
                    <c:v>233.0575908865514</c:v>
                  </c:pt>
                  <c:pt idx="2">
                    <c:v>93618.047635424431</c:v>
                  </c:pt>
                  <c:pt idx="3">
                    <c:v>252038.8235017719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Data'!$AC$15,'TASBE Data'!$AD$15,'TASBE Data'!$AE$15,'TASBE Data'!$AF$15)</c:f>
              <c:numCache>
                <c:formatCode>General</c:formatCode>
                <c:ptCount val="4"/>
                <c:pt idx="0">
                  <c:v>2788.1610225168197</c:v>
                </c:pt>
                <c:pt idx="1">
                  <c:v>6137.7364583638873</c:v>
                </c:pt>
                <c:pt idx="2">
                  <c:v>706718.73209473654</c:v>
                </c:pt>
                <c:pt idx="3">
                  <c:v>589577.51134370978</c:v>
                </c:pt>
              </c:numCache>
            </c:numRef>
          </c:yVal>
          <c:smooth val="0"/>
          <c:extLst>
            <c:ext xmlns:c16="http://schemas.microsoft.com/office/drawing/2014/chart" uri="{C3380CC4-5D6E-409C-BE32-E72D297353CC}">
              <c16:uniqueId val="{00000002-7576-4DE0-B6AF-9342F392EE2A}"/>
            </c:ext>
          </c:extLst>
        </c:ser>
        <c:ser>
          <c:idx val="3"/>
          <c:order val="3"/>
          <c:tx>
            <c:v>1-</c:v>
          </c:tx>
          <c:spPr>
            <a:ln w="19050" cap="rnd">
              <a:solidFill>
                <a:srgbClr val="FF9999"/>
              </a:solidFill>
              <a:round/>
            </a:ln>
            <a:effectLst/>
          </c:spPr>
          <c:marker>
            <c:symbol val="circle"/>
            <c:size val="5"/>
            <c:spPr>
              <a:solidFill>
                <a:srgbClr val="FF9999"/>
              </a:solidFill>
              <a:ln w="9525">
                <a:solidFill>
                  <a:srgbClr val="FF9999"/>
                </a:solidFill>
              </a:ln>
              <a:effectLst/>
            </c:spPr>
          </c:marker>
          <c:errBars>
            <c:errDir val="y"/>
            <c:errBarType val="both"/>
            <c:errValType val="cust"/>
            <c:noEndCap val="0"/>
            <c:plus>
              <c:numRef>
                <c:f>'TASBE Data'!$AG$16:$AJ$16</c:f>
                <c:numCache>
                  <c:formatCode>General</c:formatCode>
                  <c:ptCount val="4"/>
                  <c:pt idx="0">
                    <c:v>33.884488028212481</c:v>
                  </c:pt>
                  <c:pt idx="1">
                    <c:v>46.863026610332788</c:v>
                  </c:pt>
                  <c:pt idx="2">
                    <c:v>201.52702668837793</c:v>
                  </c:pt>
                  <c:pt idx="3">
                    <c:v>937.17553709336994</c:v>
                  </c:pt>
                </c:numCache>
              </c:numRef>
            </c:plus>
            <c:minus>
              <c:numRef>
                <c:f>'TASBE Data'!$AG$16:$AJ$16</c:f>
                <c:numCache>
                  <c:formatCode>General</c:formatCode>
                  <c:ptCount val="4"/>
                  <c:pt idx="0">
                    <c:v>33.884488028212481</c:v>
                  </c:pt>
                  <c:pt idx="1">
                    <c:v>46.863026610332788</c:v>
                  </c:pt>
                  <c:pt idx="2">
                    <c:v>201.52702668837793</c:v>
                  </c:pt>
                  <c:pt idx="3">
                    <c:v>937.17553709336994</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Data'!$AC$16,'TASBE Data'!$AD$16,'TASBE Data'!$AE$16,'TASBE Data'!$AF$16)</c:f>
              <c:numCache>
                <c:formatCode>General</c:formatCode>
                <c:ptCount val="4"/>
                <c:pt idx="0">
                  <c:v>2668.8387614839039</c:v>
                </c:pt>
                <c:pt idx="1">
                  <c:v>2558.2834683652336</c:v>
                </c:pt>
                <c:pt idx="2">
                  <c:v>6620.2792413103953</c:v>
                </c:pt>
                <c:pt idx="3">
                  <c:v>9898.4263219996865</c:v>
                </c:pt>
              </c:numCache>
            </c:numRef>
          </c:yVal>
          <c:smooth val="0"/>
          <c:extLst>
            <c:ext xmlns:c16="http://schemas.microsoft.com/office/drawing/2014/chart" uri="{C3380CC4-5D6E-409C-BE32-E72D297353CC}">
              <c16:uniqueId val="{00000003-7576-4DE0-B6AF-9342F392EE2A}"/>
            </c:ext>
          </c:extLst>
        </c:ser>
        <c:ser>
          <c:idx val="4"/>
          <c:order val="4"/>
          <c:tx>
            <c:v>5+</c:v>
          </c:tx>
          <c:spPr>
            <a:ln w="1905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errBars>
            <c:errDir val="y"/>
            <c:errBarType val="both"/>
            <c:errValType val="cust"/>
            <c:noEndCap val="0"/>
            <c:plus>
              <c:numRef>
                <c:f>'TASBE Data'!$AG$17:$AJ$17</c:f>
                <c:numCache>
                  <c:formatCode>General</c:formatCode>
                  <c:ptCount val="4"/>
                  <c:pt idx="0">
                    <c:v>154.53344591407458</c:v>
                  </c:pt>
                  <c:pt idx="1">
                    <c:v>577.18489737566074</c:v>
                  </c:pt>
                  <c:pt idx="2">
                    <c:v>30378.377897089049</c:v>
                  </c:pt>
                  <c:pt idx="3">
                    <c:v>35565.420290472714</c:v>
                  </c:pt>
                </c:numCache>
              </c:numRef>
            </c:plus>
            <c:minus>
              <c:numRef>
                <c:f>'TASBE Data'!$AG$17:$AJ$17</c:f>
                <c:numCache>
                  <c:formatCode>General</c:formatCode>
                  <c:ptCount val="4"/>
                  <c:pt idx="0">
                    <c:v>154.53344591407458</c:v>
                  </c:pt>
                  <c:pt idx="1">
                    <c:v>577.18489737566074</c:v>
                  </c:pt>
                  <c:pt idx="2">
                    <c:v>30378.377897089049</c:v>
                  </c:pt>
                  <c:pt idx="3">
                    <c:v>35565.420290472714</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Data'!$AC$17,'TASBE Data'!$AD$17,'TASBE Data'!$AE$17,'TASBE Data'!$AF$17)</c:f>
              <c:numCache>
                <c:formatCode>General</c:formatCode>
                <c:ptCount val="4"/>
                <c:pt idx="0">
                  <c:v>2835.7558105785802</c:v>
                </c:pt>
                <c:pt idx="1">
                  <c:v>5340.469550964699</c:v>
                </c:pt>
                <c:pt idx="2">
                  <c:v>318275.58414724423</c:v>
                </c:pt>
                <c:pt idx="3">
                  <c:v>334704.73881030036</c:v>
                </c:pt>
              </c:numCache>
            </c:numRef>
          </c:yVal>
          <c:smooth val="0"/>
          <c:extLst>
            <c:ext xmlns:c16="http://schemas.microsoft.com/office/drawing/2014/chart" uri="{C3380CC4-5D6E-409C-BE32-E72D297353CC}">
              <c16:uniqueId val="{00000004-7576-4DE0-B6AF-9342F392EE2A}"/>
            </c:ext>
          </c:extLst>
        </c:ser>
        <c:ser>
          <c:idx val="5"/>
          <c:order val="5"/>
          <c:tx>
            <c:v>5-</c:v>
          </c:tx>
          <c:spPr>
            <a:ln w="19050" cap="rnd">
              <a:solidFill>
                <a:srgbClr val="FF7C80"/>
              </a:solidFill>
              <a:round/>
            </a:ln>
            <a:effectLst/>
          </c:spPr>
          <c:marker>
            <c:symbol val="circle"/>
            <c:size val="5"/>
            <c:spPr>
              <a:solidFill>
                <a:srgbClr val="FF7C80"/>
              </a:solidFill>
              <a:ln w="9525">
                <a:solidFill>
                  <a:srgbClr val="FF7C80"/>
                </a:solidFill>
              </a:ln>
              <a:effectLst/>
            </c:spPr>
          </c:marker>
          <c:errBars>
            <c:errDir val="y"/>
            <c:errBarType val="both"/>
            <c:errValType val="cust"/>
            <c:noEndCap val="0"/>
            <c:plus>
              <c:numRef>
                <c:f>'TASBE Data'!$AG$18:$AJ$18</c:f>
                <c:numCache>
                  <c:formatCode>General</c:formatCode>
                  <c:ptCount val="4"/>
                  <c:pt idx="0">
                    <c:v>97.433502870247239</c:v>
                  </c:pt>
                  <c:pt idx="1">
                    <c:v>48.231861640961412</c:v>
                  </c:pt>
                  <c:pt idx="2">
                    <c:v>75.391883661168507</c:v>
                  </c:pt>
                  <c:pt idx="3">
                    <c:v>1485.5231874264548</c:v>
                  </c:pt>
                </c:numCache>
              </c:numRef>
            </c:plus>
            <c:minus>
              <c:numRef>
                <c:f>'TASBE Data'!$AG$18:$AJ$18</c:f>
                <c:numCache>
                  <c:formatCode>General</c:formatCode>
                  <c:ptCount val="4"/>
                  <c:pt idx="0">
                    <c:v>97.433502870247239</c:v>
                  </c:pt>
                  <c:pt idx="1">
                    <c:v>48.231861640961412</c:v>
                  </c:pt>
                  <c:pt idx="2">
                    <c:v>75.391883661168507</c:v>
                  </c:pt>
                  <c:pt idx="3">
                    <c:v>1485.5231874264548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Data'!$AC$18,'TASBE Data'!$AD$18,'TASBE Data'!$AE$18,'TASBE Data'!$AF$18)</c:f>
              <c:numCache>
                <c:formatCode>General</c:formatCode>
                <c:ptCount val="4"/>
                <c:pt idx="0">
                  <c:v>2682.3644569627163</c:v>
                </c:pt>
                <c:pt idx="1">
                  <c:v>2564.2336988160423</c:v>
                </c:pt>
                <c:pt idx="2">
                  <c:v>5283.7319713944144</c:v>
                </c:pt>
                <c:pt idx="3">
                  <c:v>7205.4152873119638</c:v>
                </c:pt>
              </c:numCache>
            </c:numRef>
          </c:yVal>
          <c:smooth val="0"/>
          <c:extLst>
            <c:ext xmlns:c16="http://schemas.microsoft.com/office/drawing/2014/chart" uri="{C3380CC4-5D6E-409C-BE32-E72D297353CC}">
              <c16:uniqueId val="{00000005-7576-4DE0-B6AF-9342F392EE2A}"/>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cust"/>
            <c:noEndCap val="0"/>
            <c:plus>
              <c:numRef>
                <c:f>'TASBE Data'!$AG$19:$AJ$19</c:f>
                <c:numCache>
                  <c:formatCode>General</c:formatCode>
                  <c:ptCount val="4"/>
                  <c:pt idx="0">
                    <c:v>40.152993901827948</c:v>
                  </c:pt>
                  <c:pt idx="1">
                    <c:v>115.0458710804137</c:v>
                  </c:pt>
                  <c:pt idx="2">
                    <c:v>25310.899096239882</c:v>
                  </c:pt>
                  <c:pt idx="3">
                    <c:v>43619.244925448169</c:v>
                  </c:pt>
                </c:numCache>
              </c:numRef>
            </c:plus>
            <c:minus>
              <c:numRef>
                <c:f>'TASBE Data'!$AG$19:$AJ$19</c:f>
                <c:numCache>
                  <c:formatCode>General</c:formatCode>
                  <c:ptCount val="4"/>
                  <c:pt idx="0">
                    <c:v>40.152993901827948</c:v>
                  </c:pt>
                  <c:pt idx="1">
                    <c:v>115.0458710804137</c:v>
                  </c:pt>
                  <c:pt idx="2">
                    <c:v>25310.899096239882</c:v>
                  </c:pt>
                  <c:pt idx="3">
                    <c:v>43619.244925448169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Data'!$AC$19,'TASBE Data'!$AD$19,'TASBE Data'!$AE$19,'TASBE Data'!$AF$19)</c:f>
              <c:numCache>
                <c:formatCode>General</c:formatCode>
                <c:ptCount val="4"/>
                <c:pt idx="0">
                  <c:v>2556.432920446854</c:v>
                </c:pt>
                <c:pt idx="1">
                  <c:v>3604.9479525870411</c:v>
                </c:pt>
                <c:pt idx="2">
                  <c:v>162909.29167273163</c:v>
                </c:pt>
                <c:pt idx="3">
                  <c:v>172436.3253968161</c:v>
                </c:pt>
              </c:numCache>
            </c:numRef>
          </c:yVal>
          <c:smooth val="0"/>
          <c:extLst>
            <c:ext xmlns:c16="http://schemas.microsoft.com/office/drawing/2014/chart" uri="{C3380CC4-5D6E-409C-BE32-E72D297353CC}">
              <c16:uniqueId val="{00000006-7576-4DE0-B6AF-9342F392EE2A}"/>
            </c:ext>
          </c:extLst>
        </c:ser>
        <c:ser>
          <c:idx val="7"/>
          <c:order val="7"/>
          <c:tx>
            <c:v>10-</c:v>
          </c:tx>
          <c:spPr>
            <a:ln w="19050" cap="rnd">
              <a:solidFill>
                <a:srgbClr val="FF5050"/>
              </a:solidFill>
              <a:round/>
            </a:ln>
            <a:effectLst/>
          </c:spPr>
          <c:marker>
            <c:symbol val="circle"/>
            <c:size val="5"/>
            <c:spPr>
              <a:solidFill>
                <a:srgbClr val="FF5050"/>
              </a:solidFill>
              <a:ln w="9525">
                <a:solidFill>
                  <a:srgbClr val="FF5050"/>
                </a:solidFill>
              </a:ln>
              <a:effectLst/>
            </c:spPr>
          </c:marker>
          <c:errBars>
            <c:errDir val="y"/>
            <c:errBarType val="both"/>
            <c:errValType val="cust"/>
            <c:noEndCap val="0"/>
            <c:plus>
              <c:numRef>
                <c:f>'TASBE Data'!$AG$20:$AJ$20</c:f>
                <c:numCache>
                  <c:formatCode>General</c:formatCode>
                  <c:ptCount val="4"/>
                  <c:pt idx="0">
                    <c:v>59.647761113806773</c:v>
                  </c:pt>
                  <c:pt idx="1">
                    <c:v>102.83488585634214</c:v>
                  </c:pt>
                  <c:pt idx="2">
                    <c:v>248.97417276919782</c:v>
                  </c:pt>
                  <c:pt idx="3">
                    <c:v>1340.6290295305666</c:v>
                  </c:pt>
                </c:numCache>
              </c:numRef>
            </c:plus>
            <c:minus>
              <c:numRef>
                <c:f>'TASBE Data'!$AG$20:$AJ$20</c:f>
                <c:numCache>
                  <c:formatCode>General</c:formatCode>
                  <c:ptCount val="4"/>
                  <c:pt idx="0">
                    <c:v>59.647761113806773</c:v>
                  </c:pt>
                  <c:pt idx="1">
                    <c:v>102.83488585634214</c:v>
                  </c:pt>
                  <c:pt idx="2">
                    <c:v>248.97417276919782</c:v>
                  </c:pt>
                  <c:pt idx="3">
                    <c:v>1340.6290295305666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Data'!$AC$20,'TASBE Data'!$AD$20,'TASBE Data'!$AE$20,'TASBE Data'!$AF$20)</c:f>
              <c:numCache>
                <c:formatCode>General</c:formatCode>
                <c:ptCount val="4"/>
                <c:pt idx="0">
                  <c:v>2642.7596006147828</c:v>
                </c:pt>
                <c:pt idx="1">
                  <c:v>2638.1209783001805</c:v>
                </c:pt>
                <c:pt idx="2">
                  <c:v>5283.2333517327743</c:v>
                </c:pt>
                <c:pt idx="3">
                  <c:v>7388.6285803807077</c:v>
                </c:pt>
              </c:numCache>
            </c:numRef>
          </c:yVal>
          <c:smooth val="0"/>
          <c:extLst>
            <c:ext xmlns:c16="http://schemas.microsoft.com/office/drawing/2014/chart" uri="{C3380CC4-5D6E-409C-BE32-E72D297353CC}">
              <c16:uniqueId val="{00000007-7576-4DE0-B6AF-9342F392EE2A}"/>
            </c:ext>
          </c:extLst>
        </c:ser>
        <c:ser>
          <c:idx val="8"/>
          <c:order val="8"/>
          <c:tx>
            <c:v>20+</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errBars>
            <c:errDir val="y"/>
            <c:errBarType val="both"/>
            <c:errValType val="cust"/>
            <c:noEndCap val="0"/>
            <c:plus>
              <c:numRef>
                <c:f>'TASBE Data'!$AG$21:$AJ$21</c:f>
                <c:numCache>
                  <c:formatCode>General</c:formatCode>
                  <c:ptCount val="4"/>
                  <c:pt idx="0">
                    <c:v>121.91508811832792</c:v>
                  </c:pt>
                  <c:pt idx="1">
                    <c:v>170.29840399002327</c:v>
                  </c:pt>
                  <c:pt idx="2">
                    <c:v>7117.2046469501074</c:v>
                  </c:pt>
                  <c:pt idx="3">
                    <c:v>5075.6264100017333</c:v>
                  </c:pt>
                </c:numCache>
              </c:numRef>
            </c:plus>
            <c:minus>
              <c:numRef>
                <c:f>'TASBE Data'!$AG$21:$AJ$21</c:f>
                <c:numCache>
                  <c:formatCode>General</c:formatCode>
                  <c:ptCount val="4"/>
                  <c:pt idx="0">
                    <c:v>121.91508811832792</c:v>
                  </c:pt>
                  <c:pt idx="1">
                    <c:v>170.29840399002327</c:v>
                  </c:pt>
                  <c:pt idx="2">
                    <c:v>7117.2046469501074</c:v>
                  </c:pt>
                  <c:pt idx="3">
                    <c:v>5075.6264100017333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Data'!$AC$21,'TASBE Data'!$AD$21,'TASBE Data'!$AE$21,'TASBE Data'!$AF$21)</c:f>
              <c:numCache>
                <c:formatCode>General</c:formatCode>
                <c:ptCount val="4"/>
                <c:pt idx="0">
                  <c:v>2652.3754886403794</c:v>
                </c:pt>
                <c:pt idx="1">
                  <c:v>3508.0546844473652</c:v>
                </c:pt>
                <c:pt idx="2">
                  <c:v>101368.94819459472</c:v>
                </c:pt>
                <c:pt idx="3">
                  <c:v>99871.292023677583</c:v>
                </c:pt>
              </c:numCache>
            </c:numRef>
          </c:yVal>
          <c:smooth val="0"/>
          <c:extLst>
            <c:ext xmlns:c16="http://schemas.microsoft.com/office/drawing/2014/chart" uri="{C3380CC4-5D6E-409C-BE32-E72D297353CC}">
              <c16:uniqueId val="{00000008-7576-4DE0-B6AF-9342F392EE2A}"/>
            </c:ext>
          </c:extLst>
        </c:ser>
        <c:ser>
          <c:idx val="9"/>
          <c:order val="9"/>
          <c:tx>
            <c:v>20-</c:v>
          </c:tx>
          <c:spPr>
            <a:ln w="19050" cap="rnd">
              <a:solidFill>
                <a:srgbClr val="CC0000"/>
              </a:solidFill>
              <a:round/>
            </a:ln>
            <a:effectLst/>
          </c:spPr>
          <c:marker>
            <c:symbol val="circle"/>
            <c:size val="5"/>
            <c:spPr>
              <a:solidFill>
                <a:srgbClr val="CC0000"/>
              </a:solidFill>
              <a:ln w="9525">
                <a:solidFill>
                  <a:srgbClr val="CC0000"/>
                </a:solidFill>
              </a:ln>
              <a:effectLst/>
            </c:spPr>
          </c:marker>
          <c:errBars>
            <c:errDir val="y"/>
            <c:errBarType val="both"/>
            <c:errValType val="cust"/>
            <c:noEndCap val="0"/>
            <c:plus>
              <c:numRef>
                <c:f>'TASBE Data'!$AG$22:$AJ$22</c:f>
                <c:numCache>
                  <c:formatCode>General</c:formatCode>
                  <c:ptCount val="4"/>
                  <c:pt idx="0">
                    <c:v>115.69577442004982</c:v>
                  </c:pt>
                  <c:pt idx="1">
                    <c:v>120.84993354838814</c:v>
                  </c:pt>
                  <c:pt idx="2">
                    <c:v>192.94112380978194</c:v>
                  </c:pt>
                  <c:pt idx="3">
                    <c:v>931.36776476045543</c:v>
                  </c:pt>
                </c:numCache>
              </c:numRef>
            </c:plus>
            <c:minus>
              <c:numRef>
                <c:f>'TASBE Data'!$AG$22:$AJ$22</c:f>
                <c:numCache>
                  <c:formatCode>General</c:formatCode>
                  <c:ptCount val="4"/>
                  <c:pt idx="0">
                    <c:v>115.69577442004982</c:v>
                  </c:pt>
                  <c:pt idx="1">
                    <c:v>120.84993354838814</c:v>
                  </c:pt>
                  <c:pt idx="2">
                    <c:v>192.94112380978194</c:v>
                  </c:pt>
                  <c:pt idx="3">
                    <c:v>931.36776476045543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Data'!$AC$22,'TASBE Data'!$AD$22,'TASBE Data'!$AE$22,'TASBE Data'!$AF$22)</c:f>
              <c:numCache>
                <c:formatCode>General</c:formatCode>
                <c:ptCount val="4"/>
                <c:pt idx="0">
                  <c:v>2697.1870516031699</c:v>
                </c:pt>
                <c:pt idx="1">
                  <c:v>2606.5074181957398</c:v>
                </c:pt>
                <c:pt idx="2">
                  <c:v>5217.3427645047414</c:v>
                </c:pt>
                <c:pt idx="3">
                  <c:v>7168.6261665289221</c:v>
                </c:pt>
              </c:numCache>
            </c:numRef>
          </c:yVal>
          <c:smooth val="0"/>
          <c:extLst>
            <c:ext xmlns:c16="http://schemas.microsoft.com/office/drawing/2014/chart" uri="{C3380CC4-5D6E-409C-BE32-E72D297353CC}">
              <c16:uniqueId val="{00000009-7576-4DE0-B6AF-9342F392EE2A}"/>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ax val="10000000"/>
          <c:min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Data'!$AC$23,'TASBE Data'!$AD$23,'TASBE Data'!$AE$23,'TASBE Data'!$AF$23)</c:f>
              <c:numCache>
                <c:formatCode>General</c:formatCode>
                <c:ptCount val="4"/>
                <c:pt idx="0">
                  <c:v>2797.8507089688792</c:v>
                </c:pt>
                <c:pt idx="1">
                  <c:v>4905.3338735317748</c:v>
                </c:pt>
                <c:pt idx="2">
                  <c:v>827383.54503436806</c:v>
                </c:pt>
                <c:pt idx="3">
                  <c:v>1096320.7768380353</c:v>
                </c:pt>
              </c:numCache>
            </c:numRef>
          </c:yVal>
          <c:smooth val="0"/>
          <c:extLst>
            <c:ext xmlns:c16="http://schemas.microsoft.com/office/drawing/2014/chart" uri="{C3380CC4-5D6E-409C-BE32-E72D297353CC}">
              <c16:uniqueId val="{00000000-2349-45E0-8C95-FB5B5C2B9488}"/>
            </c:ext>
          </c:extLst>
        </c:ser>
        <c:ser>
          <c:idx val="1"/>
          <c:order val="1"/>
          <c:tx>
            <c:v>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Data'!$AC$24,'TASBE Data'!$AD$24,'TASBE Data'!$AE$24,'TASBE Data'!$AF$24)</c:f>
              <c:numCache>
                <c:formatCode>General</c:formatCode>
                <c:ptCount val="4"/>
                <c:pt idx="0">
                  <c:v>2674.4277595937428</c:v>
                </c:pt>
                <c:pt idx="1">
                  <c:v>2916.5575894275016</c:v>
                </c:pt>
                <c:pt idx="2">
                  <c:v>71297.954612063724</c:v>
                </c:pt>
                <c:pt idx="3">
                  <c:v>209311.17152650293</c:v>
                </c:pt>
              </c:numCache>
            </c:numRef>
          </c:yVal>
          <c:smooth val="0"/>
          <c:extLst>
            <c:ext xmlns:c16="http://schemas.microsoft.com/office/drawing/2014/chart" uri="{C3380CC4-5D6E-409C-BE32-E72D297353CC}">
              <c16:uniqueId val="{00000001-2349-45E0-8C95-FB5B5C2B9488}"/>
            </c:ext>
          </c:extLst>
        </c:ser>
        <c:ser>
          <c:idx val="2"/>
          <c:order val="2"/>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Data'!$AC$25,'TASBE Data'!$AD$25,'TASBE Data'!$AE$25,'TASBE Data'!$AF$25)</c:f>
              <c:numCache>
                <c:formatCode>General</c:formatCode>
                <c:ptCount val="4"/>
                <c:pt idx="0">
                  <c:v>2634.0302254482708</c:v>
                </c:pt>
                <c:pt idx="1">
                  <c:v>6760.3587152001674</c:v>
                </c:pt>
                <c:pt idx="2">
                  <c:v>622648.79510120535</c:v>
                </c:pt>
                <c:pt idx="3">
                  <c:v>875405.11460219196</c:v>
                </c:pt>
              </c:numCache>
            </c:numRef>
          </c:yVal>
          <c:smooth val="0"/>
          <c:extLst>
            <c:ext xmlns:c16="http://schemas.microsoft.com/office/drawing/2014/chart" uri="{C3380CC4-5D6E-409C-BE32-E72D297353CC}">
              <c16:uniqueId val="{00000002-2349-45E0-8C95-FB5B5C2B9488}"/>
            </c:ext>
          </c:extLst>
        </c:ser>
        <c:ser>
          <c:idx val="3"/>
          <c:order val="3"/>
          <c:tx>
            <c:v>1-</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Data'!$AC$26,'TASBE Data'!$AD$26,'TASBE Data'!$AE$26,'TASBE Data'!$AF$26)</c:f>
              <c:numCache>
                <c:formatCode>General</c:formatCode>
                <c:ptCount val="4"/>
                <c:pt idx="0">
                  <c:v>2772.6296467018569</c:v>
                </c:pt>
                <c:pt idx="1">
                  <c:v>2659.5863783215859</c:v>
                </c:pt>
                <c:pt idx="2">
                  <c:v>8034.3584461944847</c:v>
                </c:pt>
                <c:pt idx="3">
                  <c:v>13667.83053912964</c:v>
                </c:pt>
              </c:numCache>
            </c:numRef>
          </c:yVal>
          <c:smooth val="0"/>
          <c:extLst>
            <c:ext xmlns:c16="http://schemas.microsoft.com/office/drawing/2014/chart" uri="{C3380CC4-5D6E-409C-BE32-E72D297353CC}">
              <c16:uniqueId val="{00000003-2349-45E0-8C95-FB5B5C2B9488}"/>
            </c:ext>
          </c:extLst>
        </c:ser>
        <c:ser>
          <c:idx val="4"/>
          <c:order val="4"/>
          <c:tx>
            <c:v>5+</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Data'!$AC$27,'TASBE Data'!$AD$27,'TASBE Data'!$AE$27,'TASBE Data'!$AF$27)</c:f>
              <c:numCache>
                <c:formatCode>General</c:formatCode>
                <c:ptCount val="4"/>
                <c:pt idx="0">
                  <c:v>2704.3183317640651</c:v>
                </c:pt>
                <c:pt idx="1">
                  <c:v>5574.9868903867327</c:v>
                </c:pt>
                <c:pt idx="2">
                  <c:v>405995.43867486744</c:v>
                </c:pt>
                <c:pt idx="3">
                  <c:v>503058.93690248381</c:v>
                </c:pt>
              </c:numCache>
            </c:numRef>
          </c:yVal>
          <c:smooth val="0"/>
          <c:extLst>
            <c:ext xmlns:c16="http://schemas.microsoft.com/office/drawing/2014/chart" uri="{C3380CC4-5D6E-409C-BE32-E72D297353CC}">
              <c16:uniqueId val="{00000004-2349-45E0-8C95-FB5B5C2B9488}"/>
            </c:ext>
          </c:extLst>
        </c:ser>
        <c:ser>
          <c:idx val="5"/>
          <c:order val="5"/>
          <c:tx>
            <c:v>5-</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Data'!$AC$28,'TASBE Data'!$AD$28,'TASBE Data'!$AE$28,'TASBE Data'!$AF$28)</c:f>
              <c:numCache>
                <c:formatCode>General</c:formatCode>
                <c:ptCount val="4"/>
                <c:pt idx="0">
                  <c:v>2487.3309820626428</c:v>
                </c:pt>
                <c:pt idx="1">
                  <c:v>2820.8683992579108</c:v>
                </c:pt>
                <c:pt idx="2">
                  <c:v>5164.0475248242983</c:v>
                </c:pt>
                <c:pt idx="3">
                  <c:v>6508.7844883323878</c:v>
                </c:pt>
              </c:numCache>
            </c:numRef>
          </c:yVal>
          <c:smooth val="0"/>
          <c:extLst>
            <c:ext xmlns:c16="http://schemas.microsoft.com/office/drawing/2014/chart" uri="{C3380CC4-5D6E-409C-BE32-E72D297353CC}">
              <c16:uniqueId val="{00000005-2349-45E0-8C95-FB5B5C2B9488}"/>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Data'!$AC$29,'TASBE Data'!$AD$29,'TASBE Data'!$AE$29,'TASBE Data'!$AF$29)</c:f>
              <c:numCache>
                <c:formatCode>General</c:formatCode>
                <c:ptCount val="4"/>
                <c:pt idx="0">
                  <c:v>2733.5964527858973</c:v>
                </c:pt>
                <c:pt idx="1">
                  <c:v>5269.6151900460809</c:v>
                </c:pt>
                <c:pt idx="2">
                  <c:v>232460.70511803939</c:v>
                </c:pt>
                <c:pt idx="3">
                  <c:v>336352.39139764896</c:v>
                </c:pt>
              </c:numCache>
            </c:numRef>
          </c:yVal>
          <c:smooth val="0"/>
          <c:extLst>
            <c:ext xmlns:c16="http://schemas.microsoft.com/office/drawing/2014/chart" uri="{C3380CC4-5D6E-409C-BE32-E72D297353CC}">
              <c16:uniqueId val="{00000006-2349-45E0-8C95-FB5B5C2B9488}"/>
            </c:ext>
          </c:extLst>
        </c:ser>
        <c:ser>
          <c:idx val="7"/>
          <c:order val="7"/>
          <c:tx>
            <c:v>10-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Data'!$AC$30,'TASBE Data'!$AD$30,'TASBE Data'!$AE$30,'TASBE Data'!$AF$30)</c:f>
              <c:numCache>
                <c:formatCode>General</c:formatCode>
                <c:ptCount val="4"/>
                <c:pt idx="0">
                  <c:v>2479.6639229473799</c:v>
                </c:pt>
                <c:pt idx="1">
                  <c:v>2840.7556673958861</c:v>
                </c:pt>
                <c:pt idx="2">
                  <c:v>4766.5447292184617</c:v>
                </c:pt>
                <c:pt idx="3">
                  <c:v>6188.7886995752588</c:v>
                </c:pt>
              </c:numCache>
            </c:numRef>
          </c:yVal>
          <c:smooth val="0"/>
          <c:extLst>
            <c:ext xmlns:c16="http://schemas.microsoft.com/office/drawing/2014/chart" uri="{C3380CC4-5D6E-409C-BE32-E72D297353CC}">
              <c16:uniqueId val="{00000007-2349-45E0-8C95-FB5B5C2B9488}"/>
            </c:ext>
          </c:extLst>
        </c:ser>
        <c:ser>
          <c:idx val="8"/>
          <c:order val="8"/>
          <c:tx>
            <c:v>20+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Data'!$AC$31,'TASBE Data'!$AD$31,'TASBE Data'!$AE$31,'TASBE Data'!$AF$31)</c:f>
              <c:numCache>
                <c:formatCode>General</c:formatCode>
                <c:ptCount val="4"/>
                <c:pt idx="0">
                  <c:v>2816.0648463304701</c:v>
                </c:pt>
                <c:pt idx="1">
                  <c:v>4996.1467591919654</c:v>
                </c:pt>
                <c:pt idx="2">
                  <c:v>181836.42557559838</c:v>
                </c:pt>
                <c:pt idx="3">
                  <c:v>225273.15625203738</c:v>
                </c:pt>
              </c:numCache>
            </c:numRef>
          </c:yVal>
          <c:smooth val="0"/>
          <c:extLst>
            <c:ext xmlns:c16="http://schemas.microsoft.com/office/drawing/2014/chart" uri="{C3380CC4-5D6E-409C-BE32-E72D297353CC}">
              <c16:uniqueId val="{00000008-2349-45E0-8C95-FB5B5C2B9488}"/>
            </c:ext>
          </c:extLst>
        </c:ser>
        <c:ser>
          <c:idx val="9"/>
          <c:order val="9"/>
          <c:tx>
            <c:v>20-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Data'!$AC$32,'TASBE Data'!$AD$32,'TASBE Data'!$AE$32,'TASBE Data'!$AF$32)</c:f>
              <c:numCache>
                <c:formatCode>General</c:formatCode>
                <c:ptCount val="4"/>
                <c:pt idx="0">
                  <c:v>2536.9561852472557</c:v>
                </c:pt>
                <c:pt idx="1">
                  <c:v>2988.3893817559865</c:v>
                </c:pt>
                <c:pt idx="2">
                  <c:v>4968.8018867762603</c:v>
                </c:pt>
                <c:pt idx="3">
                  <c:v>5925.5323594599413</c:v>
                </c:pt>
              </c:numCache>
            </c:numRef>
          </c:yVal>
          <c:smooth val="0"/>
          <c:extLst>
            <c:ext xmlns:c16="http://schemas.microsoft.com/office/drawing/2014/chart" uri="{C3380CC4-5D6E-409C-BE32-E72D297353CC}">
              <c16:uniqueId val="{00000009-2349-45E0-8C95-FB5B5C2B9488}"/>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a:t>
                </a:r>
                <a:r>
                  <a:rPr lang="en-US" baseline="0"/>
                  <a:t>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Data'!$AC$33,'TASBE Data'!$AD$33,'TASBE Data'!$AE$33,'TASBE Data'!$AF$33)</c:f>
              <c:numCache>
                <c:formatCode>General</c:formatCode>
                <c:ptCount val="4"/>
                <c:pt idx="0">
                  <c:v>2952.3398995253629</c:v>
                </c:pt>
                <c:pt idx="1">
                  <c:v>9546.333103322846</c:v>
                </c:pt>
                <c:pt idx="2">
                  <c:v>711671.49199743918</c:v>
                </c:pt>
                <c:pt idx="3">
                  <c:v>721460.59255254723</c:v>
                </c:pt>
              </c:numCache>
            </c:numRef>
          </c:yVal>
          <c:smooth val="0"/>
          <c:extLst>
            <c:ext xmlns:c16="http://schemas.microsoft.com/office/drawing/2014/chart" uri="{C3380CC4-5D6E-409C-BE32-E72D297353CC}">
              <c16:uniqueId val="{00000000-39C7-473C-8D89-66528C2B8058}"/>
            </c:ext>
          </c:extLst>
        </c:ser>
        <c:ser>
          <c:idx val="1"/>
          <c:order val="1"/>
          <c:tx>
            <c:v>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Data'!$AC$34,'TASBE Data'!$AD$34,'TASBE Data'!$AE$34,'TASBE Data'!$AF$34)</c:f>
              <c:numCache>
                <c:formatCode>General</c:formatCode>
                <c:ptCount val="4"/>
                <c:pt idx="0">
                  <c:v>2586.0367094628277</c:v>
                </c:pt>
                <c:pt idx="1">
                  <c:v>3483.2629797143459</c:v>
                </c:pt>
                <c:pt idx="2">
                  <c:v>119838.73885578997</c:v>
                </c:pt>
                <c:pt idx="3">
                  <c:v>306918.99895130767</c:v>
                </c:pt>
              </c:numCache>
            </c:numRef>
          </c:yVal>
          <c:smooth val="0"/>
          <c:extLst>
            <c:ext xmlns:c16="http://schemas.microsoft.com/office/drawing/2014/chart" uri="{C3380CC4-5D6E-409C-BE32-E72D297353CC}">
              <c16:uniqueId val="{00000001-39C7-473C-8D89-66528C2B8058}"/>
            </c:ext>
          </c:extLst>
        </c:ser>
        <c:ser>
          <c:idx val="2"/>
          <c:order val="2"/>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Data'!$AC$35,'TASBE Data'!$AD$35,'TASBE Data'!$AE$35,'TASBE Data'!$AF$35)</c:f>
              <c:numCache>
                <c:formatCode>General</c:formatCode>
                <c:ptCount val="4"/>
                <c:pt idx="0">
                  <c:v>2747.6341753044194</c:v>
                </c:pt>
                <c:pt idx="1">
                  <c:v>5938.1233955565076</c:v>
                </c:pt>
                <c:pt idx="2">
                  <c:v>666989.44508554437</c:v>
                </c:pt>
                <c:pt idx="3">
                  <c:v>588498.31159746042</c:v>
                </c:pt>
              </c:numCache>
            </c:numRef>
          </c:yVal>
          <c:smooth val="0"/>
          <c:extLst>
            <c:ext xmlns:c16="http://schemas.microsoft.com/office/drawing/2014/chart" uri="{C3380CC4-5D6E-409C-BE32-E72D297353CC}">
              <c16:uniqueId val="{00000002-39C7-473C-8D89-66528C2B8058}"/>
            </c:ext>
          </c:extLst>
        </c:ser>
        <c:ser>
          <c:idx val="3"/>
          <c:order val="3"/>
          <c:tx>
            <c:v>1-</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Data'!$AC$36,'TASBE Data'!$AD$36,'TASBE Data'!$AE$36,'TASBE Data'!$AF$36)</c:f>
              <c:numCache>
                <c:formatCode>General</c:formatCode>
                <c:ptCount val="4"/>
                <c:pt idx="0">
                  <c:v>2487.418485128459</c:v>
                </c:pt>
                <c:pt idx="1">
                  <c:v>3064.689818088847</c:v>
                </c:pt>
                <c:pt idx="2">
                  <c:v>8786.3039507673257</c:v>
                </c:pt>
                <c:pt idx="3">
                  <c:v>12505.658518601889</c:v>
                </c:pt>
              </c:numCache>
            </c:numRef>
          </c:yVal>
          <c:smooth val="0"/>
          <c:extLst>
            <c:ext xmlns:c16="http://schemas.microsoft.com/office/drawing/2014/chart" uri="{C3380CC4-5D6E-409C-BE32-E72D297353CC}">
              <c16:uniqueId val="{00000003-39C7-473C-8D89-66528C2B8058}"/>
            </c:ext>
          </c:extLst>
        </c:ser>
        <c:ser>
          <c:idx val="4"/>
          <c:order val="4"/>
          <c:tx>
            <c:v>5+</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Data'!$AC$37,'TASBE Data'!$AD$37,'TASBE Data'!$AE$37,'TASBE Data'!$AF$37)</c:f>
              <c:numCache>
                <c:formatCode>General</c:formatCode>
                <c:ptCount val="4"/>
                <c:pt idx="0">
                  <c:v>2785.4578618951537</c:v>
                </c:pt>
                <c:pt idx="1">
                  <c:v>5328.8900607416363</c:v>
                </c:pt>
                <c:pt idx="2">
                  <c:v>452974.17182967946</c:v>
                </c:pt>
                <c:pt idx="3">
                  <c:v>722538.17859353404</c:v>
                </c:pt>
              </c:numCache>
            </c:numRef>
          </c:yVal>
          <c:smooth val="0"/>
          <c:extLst>
            <c:ext xmlns:c16="http://schemas.microsoft.com/office/drawing/2014/chart" uri="{C3380CC4-5D6E-409C-BE32-E72D297353CC}">
              <c16:uniqueId val="{00000004-39C7-473C-8D89-66528C2B8058}"/>
            </c:ext>
          </c:extLst>
        </c:ser>
        <c:ser>
          <c:idx val="5"/>
          <c:order val="5"/>
          <c:tx>
            <c:v>5-</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Data'!$AC$38,'TASBE Data'!$AD$38,'TASBE Data'!$AE$38,'TASBE Data'!$AF$38)</c:f>
              <c:numCache>
                <c:formatCode>General</c:formatCode>
                <c:ptCount val="4"/>
                <c:pt idx="0">
                  <c:v>2592.9120446340048</c:v>
                </c:pt>
                <c:pt idx="1">
                  <c:v>3072.9258557506309</c:v>
                </c:pt>
                <c:pt idx="2">
                  <c:v>4611.4618392484508</c:v>
                </c:pt>
                <c:pt idx="3">
                  <c:v>6852.7036974343328</c:v>
                </c:pt>
              </c:numCache>
            </c:numRef>
          </c:yVal>
          <c:smooth val="0"/>
          <c:extLst>
            <c:ext xmlns:c16="http://schemas.microsoft.com/office/drawing/2014/chart" uri="{C3380CC4-5D6E-409C-BE32-E72D297353CC}">
              <c16:uniqueId val="{00000005-39C7-473C-8D89-66528C2B8058}"/>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Data'!$AC$39,'TASBE Data'!$AD$39,'TASBE Data'!$AE$39,'TASBE Data'!$AF$39)</c:f>
              <c:numCache>
                <c:formatCode>General</c:formatCode>
                <c:ptCount val="4"/>
                <c:pt idx="0">
                  <c:v>2731.7613339368227</c:v>
                </c:pt>
                <c:pt idx="1">
                  <c:v>5433.4635635118793</c:v>
                </c:pt>
                <c:pt idx="2">
                  <c:v>362243.87006932596</c:v>
                </c:pt>
                <c:pt idx="3">
                  <c:v>539294.83787015534</c:v>
                </c:pt>
              </c:numCache>
            </c:numRef>
          </c:yVal>
          <c:smooth val="0"/>
          <c:extLst>
            <c:ext xmlns:c16="http://schemas.microsoft.com/office/drawing/2014/chart" uri="{C3380CC4-5D6E-409C-BE32-E72D297353CC}">
              <c16:uniqueId val="{00000006-39C7-473C-8D89-66528C2B8058}"/>
            </c:ext>
          </c:extLst>
        </c:ser>
        <c:ser>
          <c:idx val="7"/>
          <c:order val="7"/>
          <c:tx>
            <c:v>10-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Data'!$AC$40,'TASBE Data'!$AD$40,'TASBE Data'!$AE$40,'TASBE Data'!$AF$40)</c:f>
              <c:numCache>
                <c:formatCode>General</c:formatCode>
                <c:ptCount val="4"/>
                <c:pt idx="0">
                  <c:v>2626.8883999452692</c:v>
                </c:pt>
                <c:pt idx="1">
                  <c:v>2949.9262149636602</c:v>
                </c:pt>
                <c:pt idx="2">
                  <c:v>5305.5976360520608</c:v>
                </c:pt>
                <c:pt idx="3">
                  <c:v>6720.3083845749388</c:v>
                </c:pt>
              </c:numCache>
            </c:numRef>
          </c:yVal>
          <c:smooth val="0"/>
          <c:extLst>
            <c:ext xmlns:c16="http://schemas.microsoft.com/office/drawing/2014/chart" uri="{C3380CC4-5D6E-409C-BE32-E72D297353CC}">
              <c16:uniqueId val="{00000007-39C7-473C-8D89-66528C2B8058}"/>
            </c:ext>
          </c:extLst>
        </c:ser>
        <c:ser>
          <c:idx val="8"/>
          <c:order val="8"/>
          <c:tx>
            <c:v>20+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Data'!$AC$41,'TASBE Data'!$AD$41,'TASBE Data'!$AE$41,'TASBE Data'!$AF$41)</c:f>
              <c:numCache>
                <c:formatCode>General</c:formatCode>
                <c:ptCount val="4"/>
                <c:pt idx="0">
                  <c:v>2789.0415139762463</c:v>
                </c:pt>
                <c:pt idx="1">
                  <c:v>4696.5733886999169</c:v>
                </c:pt>
                <c:pt idx="2">
                  <c:v>270059.94758710527</c:v>
                </c:pt>
                <c:pt idx="3">
                  <c:v>298923.77914179023</c:v>
                </c:pt>
              </c:numCache>
            </c:numRef>
          </c:yVal>
          <c:smooth val="0"/>
          <c:extLst>
            <c:ext xmlns:c16="http://schemas.microsoft.com/office/drawing/2014/chart" uri="{C3380CC4-5D6E-409C-BE32-E72D297353CC}">
              <c16:uniqueId val="{00000008-39C7-473C-8D89-66528C2B8058}"/>
            </c:ext>
          </c:extLst>
        </c:ser>
        <c:ser>
          <c:idx val="9"/>
          <c:order val="9"/>
          <c:tx>
            <c:v>20-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Data'!$AC$42,'TASBE Data'!$AD$42,'TASBE Data'!$AE$42,'TASBE Data'!$AF$42)</c:f>
              <c:numCache>
                <c:formatCode>General</c:formatCode>
                <c:ptCount val="4"/>
                <c:pt idx="0">
                  <c:v>2506.1940657101859</c:v>
                </c:pt>
                <c:pt idx="1">
                  <c:v>3010.3281799115061</c:v>
                </c:pt>
                <c:pt idx="2">
                  <c:v>5309.2474143054333</c:v>
                </c:pt>
                <c:pt idx="3">
                  <c:v>7678.0824390186172</c:v>
                </c:pt>
              </c:numCache>
            </c:numRef>
          </c:yVal>
          <c:smooth val="0"/>
          <c:extLst>
            <c:ext xmlns:c16="http://schemas.microsoft.com/office/drawing/2014/chart" uri="{C3380CC4-5D6E-409C-BE32-E72D297353CC}">
              <c16:uniqueId val="{00000009-39C7-473C-8D89-66528C2B8058}"/>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594C-49E0-9E8B-4B6CFDB3DEF0}"/>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Data'!$V$47:$Y$47</c:f>
              <c:numCache>
                <c:formatCode>General</c:formatCode>
                <c:ptCount val="4"/>
                <c:pt idx="0">
                  <c:v>-20</c:v>
                </c:pt>
                <c:pt idx="1">
                  <c:v>-20</c:v>
                </c:pt>
                <c:pt idx="2">
                  <c:v>-3.9715893467131669</c:v>
                </c:pt>
                <c:pt idx="3">
                  <c:v>-4.3152828762561768</c:v>
                </c:pt>
              </c:numCache>
            </c:numRef>
          </c:yVal>
          <c:smooth val="0"/>
          <c:extLst>
            <c:ext xmlns:c16="http://schemas.microsoft.com/office/drawing/2014/chart" uri="{C3380CC4-5D6E-409C-BE32-E72D297353CC}">
              <c16:uniqueId val="{00000001-594C-49E0-9E8B-4B6CFDB3DEF0}"/>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2-594C-49E0-9E8B-4B6CFDB3DEF0}"/>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Data'!$V$49:$Y$49</c:f>
              <c:numCache>
                <c:formatCode>General</c:formatCode>
                <c:ptCount val="4"/>
                <c:pt idx="0">
                  <c:v>-20</c:v>
                </c:pt>
                <c:pt idx="1">
                  <c:v>-20</c:v>
                </c:pt>
                <c:pt idx="2">
                  <c:v>-7.8818091129364305</c:v>
                </c:pt>
                <c:pt idx="3">
                  <c:v>-9.0350154289946936</c:v>
                </c:pt>
              </c:numCache>
            </c:numRef>
          </c:yVal>
          <c:smooth val="0"/>
          <c:extLst>
            <c:ext xmlns:c16="http://schemas.microsoft.com/office/drawing/2014/chart" uri="{C3380CC4-5D6E-409C-BE32-E72D297353CC}">
              <c16:uniqueId val="{00000003-594C-49E0-9E8B-4B6CFDB3DEF0}"/>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Data'!$V$50:$Y$50</c:f>
              <c:numCache>
                <c:formatCode>General</c:formatCode>
                <c:ptCount val="4"/>
                <c:pt idx="0">
                  <c:v>-20</c:v>
                </c:pt>
                <c:pt idx="1">
                  <c:v>-20</c:v>
                </c:pt>
                <c:pt idx="2">
                  <c:v>-13.658384375239844</c:v>
                </c:pt>
                <c:pt idx="3">
                  <c:v>-10.773445919765162</c:v>
                </c:pt>
              </c:numCache>
            </c:numRef>
          </c:yVal>
          <c:smooth val="0"/>
          <c:extLst>
            <c:ext xmlns:c16="http://schemas.microsoft.com/office/drawing/2014/chart" uri="{C3380CC4-5D6E-409C-BE32-E72D297353CC}">
              <c16:uniqueId val="{00000004-594C-49E0-9E8B-4B6CFDB3DEF0}"/>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Data'!$V$51:$Y$51</c:f>
              <c:numCache>
                <c:formatCode>General</c:formatCode>
                <c:ptCount val="4"/>
                <c:pt idx="0">
                  <c:v>-20</c:v>
                </c:pt>
                <c:pt idx="1">
                  <c:v>-14.590563912036334</c:v>
                </c:pt>
                <c:pt idx="2">
                  <c:v>-8.2767471413178484</c:v>
                </c:pt>
                <c:pt idx="3">
                  <c:v>-11.781150524997408</c:v>
                </c:pt>
              </c:numCache>
            </c:numRef>
          </c:yVal>
          <c:smooth val="0"/>
          <c:extLst>
            <c:ext xmlns:c16="http://schemas.microsoft.com/office/drawing/2014/chart" uri="{C3380CC4-5D6E-409C-BE32-E72D297353CC}">
              <c16:uniqueId val="{00000000-53F8-4ACD-9CE3-23B3385ADF67}"/>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Data'!$V$52:$Y$52</c:f>
              <c:numCache>
                <c:formatCode>General</c:formatCode>
                <c:ptCount val="4"/>
                <c:pt idx="0">
                  <c:v>-20</c:v>
                </c:pt>
                <c:pt idx="1">
                  <c:v>-14.206040269206621</c:v>
                </c:pt>
                <c:pt idx="2">
                  <c:v>-2.1289904262357617</c:v>
                </c:pt>
                <c:pt idx="3">
                  <c:v>-4.3160977221447148</c:v>
                </c:pt>
              </c:numCache>
            </c:numRef>
          </c:yVal>
          <c:smooth val="0"/>
          <c:extLst>
            <c:ext xmlns:c16="http://schemas.microsoft.com/office/drawing/2014/chart" uri="{C3380CC4-5D6E-409C-BE32-E72D297353CC}">
              <c16:uniqueId val="{00000001-53F8-4ACD-9CE3-23B3385ADF67}"/>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Data'!$V$53:$Y$53</c:f>
              <c:numCache>
                <c:formatCode>General</c:formatCode>
                <c:ptCount val="4"/>
                <c:pt idx="0">
                  <c:v>-20</c:v>
                </c:pt>
                <c:pt idx="1">
                  <c:v>-15.389447338834863</c:v>
                </c:pt>
                <c:pt idx="2">
                  <c:v>-2.9148144743213784</c:v>
                </c:pt>
                <c:pt idx="3">
                  <c:v>-4.1539053013076996</c:v>
                </c:pt>
              </c:numCache>
            </c:numRef>
          </c:yVal>
          <c:smooth val="0"/>
          <c:extLst>
            <c:ext xmlns:c16="http://schemas.microsoft.com/office/drawing/2014/chart" uri="{C3380CC4-5D6E-409C-BE32-E72D297353CC}">
              <c16:uniqueId val="{00000002-53F8-4ACD-9CE3-23B3385ADF67}"/>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Data'!$V$54:$Y$54</c:f>
              <c:numCache>
                <c:formatCode>General</c:formatCode>
                <c:ptCount val="4"/>
                <c:pt idx="0">
                  <c:v>-20</c:v>
                </c:pt>
                <c:pt idx="1">
                  <c:v>-20</c:v>
                </c:pt>
                <c:pt idx="2">
                  <c:v>-4.5046541010652827</c:v>
                </c:pt>
                <c:pt idx="3">
                  <c:v>-5.9522966692133572</c:v>
                </c:pt>
              </c:numCache>
            </c:numRef>
          </c:yVal>
          <c:smooth val="0"/>
          <c:extLst>
            <c:ext xmlns:c16="http://schemas.microsoft.com/office/drawing/2014/chart" uri="{C3380CC4-5D6E-409C-BE32-E72D297353CC}">
              <c16:uniqueId val="{00000003-53F8-4ACD-9CE3-23B3385ADF67}"/>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Data'!$V$55:$Y$55</c:f>
              <c:numCache>
                <c:formatCode>General</c:formatCode>
                <c:ptCount val="4"/>
                <c:pt idx="0">
                  <c:v>-20</c:v>
                </c:pt>
                <c:pt idx="1">
                  <c:v>-20</c:v>
                </c:pt>
                <c:pt idx="2">
                  <c:v>-5.5045332213293641</c:v>
                </c:pt>
                <c:pt idx="3">
                  <c:v>-7.3491254789476663</c:v>
                </c:pt>
              </c:numCache>
            </c:numRef>
          </c:yVal>
          <c:smooth val="0"/>
          <c:extLst>
            <c:ext xmlns:c16="http://schemas.microsoft.com/office/drawing/2014/chart" uri="{C3380CC4-5D6E-409C-BE32-E72D297353CC}">
              <c16:uniqueId val="{00000004-53F8-4ACD-9CE3-23B3385ADF67}"/>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Data'!$V$56:$Y$56</c:f>
              <c:numCache>
                <c:formatCode>General</c:formatCode>
                <c:ptCount val="4"/>
                <c:pt idx="0">
                  <c:v>-20</c:v>
                </c:pt>
                <c:pt idx="1">
                  <c:v>-18.725443235287948</c:v>
                </c:pt>
                <c:pt idx="2">
                  <c:v>-9.5170510050947996</c:v>
                </c:pt>
                <c:pt idx="3">
                  <c:v>-13.816546287400644</c:v>
                </c:pt>
              </c:numCache>
            </c:numRef>
          </c:yVal>
          <c:smooth val="0"/>
          <c:extLst>
            <c:ext xmlns:c16="http://schemas.microsoft.com/office/drawing/2014/chart" uri="{C3380CC4-5D6E-409C-BE32-E72D297353CC}">
              <c16:uniqueId val="{00000000-48CB-4403-ADED-5B816B1E2F72}"/>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Data'!$V$57:$Y$57</c:f>
              <c:numCache>
                <c:formatCode>General</c:formatCode>
                <c:ptCount val="4"/>
                <c:pt idx="0">
                  <c:v>-20</c:v>
                </c:pt>
                <c:pt idx="1">
                  <c:v>-13.855123229844892</c:v>
                </c:pt>
                <c:pt idx="2">
                  <c:v>-3.1058393537660196</c:v>
                </c:pt>
                <c:pt idx="3">
                  <c:v>-4.4190892093786136</c:v>
                </c:pt>
              </c:numCache>
            </c:numRef>
          </c:yVal>
          <c:smooth val="0"/>
          <c:extLst>
            <c:ext xmlns:c16="http://schemas.microsoft.com/office/drawing/2014/chart" uri="{C3380CC4-5D6E-409C-BE32-E72D297353CC}">
              <c16:uniqueId val="{00000001-48CB-4403-ADED-5B816B1E2F72}"/>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Data'!$V$58:$Y$58</c:f>
              <c:numCache>
                <c:formatCode>General</c:formatCode>
                <c:ptCount val="4"/>
                <c:pt idx="0">
                  <c:v>-20</c:v>
                </c:pt>
                <c:pt idx="1">
                  <c:v>-16.299680518248859</c:v>
                </c:pt>
                <c:pt idx="2">
                  <c:v>-2.4247862994838734</c:v>
                </c:pt>
                <c:pt idx="3">
                  <c:v>-3.0697760119160495</c:v>
                </c:pt>
              </c:numCache>
            </c:numRef>
          </c:yVal>
          <c:smooth val="0"/>
          <c:extLst>
            <c:ext xmlns:c16="http://schemas.microsoft.com/office/drawing/2014/chart" uri="{C3380CC4-5D6E-409C-BE32-E72D297353CC}">
              <c16:uniqueId val="{00000002-48CB-4403-ADED-5B816B1E2F72}"/>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Data'!$V$59:$Y$59</c:f>
              <c:numCache>
                <c:formatCode>General</c:formatCode>
                <c:ptCount val="4"/>
                <c:pt idx="0">
                  <c:v>-20</c:v>
                </c:pt>
                <c:pt idx="1">
                  <c:v>-16.991546243317718</c:v>
                </c:pt>
                <c:pt idx="2">
                  <c:v>-3.3688973318251247</c:v>
                </c:pt>
                <c:pt idx="3">
                  <c:v>-3.6604401580651724</c:v>
                </c:pt>
              </c:numCache>
            </c:numRef>
          </c:yVal>
          <c:smooth val="0"/>
          <c:extLst>
            <c:ext xmlns:c16="http://schemas.microsoft.com/office/drawing/2014/chart" uri="{C3380CC4-5D6E-409C-BE32-E72D297353CC}">
              <c16:uniqueId val="{00000003-48CB-4403-ADED-5B816B1E2F72}"/>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Data'!$V$60:$Y$60</c:f>
              <c:numCache>
                <c:formatCode>General</c:formatCode>
                <c:ptCount val="4"/>
                <c:pt idx="0">
                  <c:v>-20</c:v>
                </c:pt>
                <c:pt idx="1">
                  <c:v>-18.543157031025277</c:v>
                </c:pt>
                <c:pt idx="2">
                  <c:v>-3.9455696651705812</c:v>
                </c:pt>
                <c:pt idx="3">
                  <c:v>-4.5245219604525158</c:v>
                </c:pt>
              </c:numCache>
            </c:numRef>
          </c:yVal>
          <c:smooth val="0"/>
          <c:extLst>
            <c:ext xmlns:c16="http://schemas.microsoft.com/office/drawing/2014/chart" uri="{C3380CC4-5D6E-409C-BE32-E72D297353CC}">
              <c16:uniqueId val="{00000004-48CB-4403-ADED-5B816B1E2F72}"/>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Data'!$V$61:$Y$61</c:f>
              <c:numCache>
                <c:formatCode>General</c:formatCode>
                <c:ptCount val="4"/>
                <c:pt idx="0">
                  <c:v>-20</c:v>
                </c:pt>
                <c:pt idx="1">
                  <c:v>-13.760853981298149</c:v>
                </c:pt>
                <c:pt idx="2">
                  <c:v>-12.52299130408421</c:v>
                </c:pt>
                <c:pt idx="3">
                  <c:v>-19.626993942728518</c:v>
                </c:pt>
              </c:numCache>
            </c:numRef>
          </c:yVal>
          <c:smooth val="0"/>
          <c:extLst>
            <c:ext xmlns:c16="http://schemas.microsoft.com/office/drawing/2014/chart" uri="{C3380CC4-5D6E-409C-BE32-E72D297353CC}">
              <c16:uniqueId val="{00000000-FFBF-4D1E-A0C4-68FBEE9A0335}"/>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Data'!$V$62:$Y$62</c:f>
              <c:numCache>
                <c:formatCode>General</c:formatCode>
                <c:ptCount val="4"/>
                <c:pt idx="0">
                  <c:v>-20</c:v>
                </c:pt>
                <c:pt idx="1">
                  <c:v>-16.797655077340213</c:v>
                </c:pt>
                <c:pt idx="2">
                  <c:v>-3.3262229502685248</c:v>
                </c:pt>
                <c:pt idx="3">
                  <c:v>-5.3657884488582317</c:v>
                </c:pt>
              </c:numCache>
            </c:numRef>
          </c:yVal>
          <c:smooth val="0"/>
          <c:extLst>
            <c:ext xmlns:c16="http://schemas.microsoft.com/office/drawing/2014/chart" uri="{C3380CC4-5D6E-409C-BE32-E72D297353CC}">
              <c16:uniqueId val="{00000001-FFBF-4D1E-A0C4-68FBEE9A0335}"/>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Data'!$V$63:$Y$63</c:f>
              <c:numCache>
                <c:formatCode>General</c:formatCode>
                <c:ptCount val="4"/>
                <c:pt idx="0">
                  <c:v>-20</c:v>
                </c:pt>
                <c:pt idx="1">
                  <c:v>-18.203679044314004</c:v>
                </c:pt>
                <c:pt idx="2">
                  <c:v>-1.9800047219509875</c:v>
                </c:pt>
                <c:pt idx="3">
                  <c:v>-2.4630805339759703</c:v>
                </c:pt>
              </c:numCache>
            </c:numRef>
          </c:yVal>
          <c:smooth val="0"/>
          <c:extLst>
            <c:ext xmlns:c16="http://schemas.microsoft.com/office/drawing/2014/chart" uri="{C3380CC4-5D6E-409C-BE32-E72D297353CC}">
              <c16:uniqueId val="{00000002-FFBF-4D1E-A0C4-68FBEE9A0335}"/>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Data'!$V$64:$Y$64</c:f>
              <c:numCache>
                <c:formatCode>General</c:formatCode>
                <c:ptCount val="4"/>
                <c:pt idx="0">
                  <c:v>-20</c:v>
                </c:pt>
                <c:pt idx="1">
                  <c:v>-17.248378737381337</c:v>
                </c:pt>
                <c:pt idx="2">
                  <c:v>-2.670709295158292</c:v>
                </c:pt>
                <c:pt idx="3">
                  <c:v>-2.9033709785293214</c:v>
                </c:pt>
              </c:numCache>
            </c:numRef>
          </c:yVal>
          <c:smooth val="0"/>
          <c:extLst>
            <c:ext xmlns:c16="http://schemas.microsoft.com/office/drawing/2014/chart" uri="{C3380CC4-5D6E-409C-BE32-E72D297353CC}">
              <c16:uniqueId val="{00000003-FFBF-4D1E-A0C4-68FBEE9A0335}"/>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Data'!$V$65:$Y$65</c:f>
              <c:numCache>
                <c:formatCode>General</c:formatCode>
                <c:ptCount val="4"/>
                <c:pt idx="0">
                  <c:v>-20</c:v>
                </c:pt>
                <c:pt idx="1">
                  <c:v>-19.803791681532221</c:v>
                </c:pt>
                <c:pt idx="2">
                  <c:v>-3.2572734406937287</c:v>
                </c:pt>
                <c:pt idx="3">
                  <c:v>-4.6060109073204396</c:v>
                </c:pt>
              </c:numCache>
            </c:numRef>
          </c:yVal>
          <c:smooth val="0"/>
          <c:extLst>
            <c:ext xmlns:c16="http://schemas.microsoft.com/office/drawing/2014/chart" uri="{C3380CC4-5D6E-409C-BE32-E72D297353CC}">
              <c16:uniqueId val="{00000004-FFBF-4D1E-A0C4-68FBEE9A0335}"/>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Data'!$V$70:$Y$70</c:f>
              <c:numCache>
                <c:formatCode>General</c:formatCode>
                <c:ptCount val="4"/>
                <c:pt idx="0">
                  <c:v>0.98877546401402205</c:v>
                </c:pt>
                <c:pt idx="1">
                  <c:v>1.204089610494854</c:v>
                </c:pt>
                <c:pt idx="2">
                  <c:v>4.9500732169095487</c:v>
                </c:pt>
                <c:pt idx="3">
                  <c:v>0.29451973207881049</c:v>
                </c:pt>
              </c:numCache>
            </c:numRef>
          </c:yVal>
          <c:smooth val="0"/>
          <c:extLst>
            <c:ext xmlns:c16="http://schemas.microsoft.com/office/drawing/2014/chart" uri="{C3380CC4-5D6E-409C-BE32-E72D297353CC}">
              <c16:uniqueId val="{00000000-A5A4-4529-A52D-99CF493C5205}"/>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Data'!$V$71:$Y$71</c:f>
              <c:numCache>
                <c:formatCode>General</c:formatCode>
                <c:ptCount val="4"/>
                <c:pt idx="0">
                  <c:v>0.94003671220445251</c:v>
                </c:pt>
                <c:pt idx="1">
                  <c:v>1.3951335805767415</c:v>
                </c:pt>
                <c:pt idx="2">
                  <c:v>20.89628455639345</c:v>
                </c:pt>
                <c:pt idx="3">
                  <c:v>20.268957699601</c:v>
                </c:pt>
              </c:numCache>
            </c:numRef>
          </c:yVal>
          <c:smooth val="0"/>
          <c:extLst>
            <c:ext xmlns:c16="http://schemas.microsoft.com/office/drawing/2014/chart" uri="{C3380CC4-5D6E-409C-BE32-E72D297353CC}">
              <c16:uniqueId val="{00000001-A5A4-4529-A52D-99CF493C5205}"/>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Data'!$V$72:$Y$72</c:f>
              <c:numCache>
                <c:formatCode>General</c:formatCode>
                <c:ptCount val="4"/>
                <c:pt idx="0">
                  <c:v>0.91176960768714321</c:v>
                </c:pt>
                <c:pt idx="1">
                  <c:v>1.3217056387254564</c:v>
                </c:pt>
                <c:pt idx="2">
                  <c:v>7.8308113027215294</c:v>
                </c:pt>
                <c:pt idx="3">
                  <c:v>5.0906534329766213</c:v>
                </c:pt>
              </c:numCache>
            </c:numRef>
          </c:yVal>
          <c:smooth val="0"/>
          <c:extLst>
            <c:ext xmlns:c16="http://schemas.microsoft.com/office/drawing/2014/chart" uri="{C3380CC4-5D6E-409C-BE32-E72D297353CC}">
              <c16:uniqueId val="{00000002-A5A4-4529-A52D-99CF493C5205}"/>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Data'!$V$73:$Y$73</c:f>
              <c:numCache>
                <c:formatCode>General</c:formatCode>
                <c:ptCount val="4"/>
                <c:pt idx="0">
                  <c:v>0.94467322792895503</c:v>
                </c:pt>
                <c:pt idx="1">
                  <c:v>1.1683936233116381</c:v>
                </c:pt>
                <c:pt idx="2">
                  <c:v>4.97941541204953</c:v>
                </c:pt>
                <c:pt idx="3">
                  <c:v>3.1544695454251461</c:v>
                </c:pt>
              </c:numCache>
            </c:numRef>
          </c:yVal>
          <c:smooth val="0"/>
          <c:extLst>
            <c:ext xmlns:c16="http://schemas.microsoft.com/office/drawing/2014/chart" uri="{C3380CC4-5D6E-409C-BE32-E72D297353CC}">
              <c16:uniqueId val="{00000003-A5A4-4529-A52D-99CF493C5205}"/>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Data'!$V$74:$Y$74</c:f>
              <c:numCache>
                <c:formatCode>General</c:formatCode>
                <c:ptCount val="4"/>
                <c:pt idx="0">
                  <c:v>1.0069224822242964</c:v>
                </c:pt>
                <c:pt idx="1">
                  <c:v>1.3267467500737995</c:v>
                </c:pt>
                <c:pt idx="2">
                  <c:v>1.5410248669416737</c:v>
                </c:pt>
                <c:pt idx="3">
                  <c:v>2.1352671542979342</c:v>
                </c:pt>
              </c:numCache>
            </c:numRef>
          </c:yVal>
          <c:smooth val="0"/>
          <c:extLst>
            <c:ext xmlns:c16="http://schemas.microsoft.com/office/drawing/2014/chart" uri="{C3380CC4-5D6E-409C-BE32-E72D297353CC}">
              <c16:uniqueId val="{00000004-A5A4-4529-A52D-99CF493C5205}"/>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15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Data'!$V$75:$Y$75</c:f>
              <c:numCache>
                <c:formatCode>General</c:formatCode>
                <c:ptCount val="4"/>
                <c:pt idx="0">
                  <c:v>1.0319444836120737</c:v>
                </c:pt>
                <c:pt idx="1">
                  <c:v>2.3550363634240137</c:v>
                </c:pt>
                <c:pt idx="2">
                  <c:v>0.84649113630165651</c:v>
                </c:pt>
                <c:pt idx="3">
                  <c:v>0.23368572582860708</c:v>
                </c:pt>
              </c:numCache>
            </c:numRef>
          </c:yVal>
          <c:smooth val="0"/>
          <c:extLst>
            <c:ext xmlns:c16="http://schemas.microsoft.com/office/drawing/2014/chart" uri="{C3380CC4-5D6E-409C-BE32-E72D297353CC}">
              <c16:uniqueId val="{00000000-FA7A-4FD7-AC21-B83ED4A74390}"/>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Data'!$V$76:$Y$76</c:f>
              <c:numCache>
                <c:formatCode>General</c:formatCode>
                <c:ptCount val="4"/>
                <c:pt idx="0">
                  <c:v>1.0447094304665192</c:v>
                </c:pt>
                <c:pt idx="1">
                  <c:v>2.5028409066647685</c:v>
                </c:pt>
                <c:pt idx="2">
                  <c:v>43.03445654182466</c:v>
                </c:pt>
                <c:pt idx="3">
                  <c:v>16.059459945874618</c:v>
                </c:pt>
              </c:numCache>
            </c:numRef>
          </c:yVal>
          <c:smooth val="0"/>
          <c:extLst>
            <c:ext xmlns:c16="http://schemas.microsoft.com/office/drawing/2014/chart" uri="{C3380CC4-5D6E-409C-BE32-E72D297353CC}">
              <c16:uniqueId val="{00000001-FA7A-4FD7-AC21-B83ED4A74390}"/>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Data'!$V$77:$Y$77</c:f>
              <c:numCache>
                <c:formatCode>General</c:formatCode>
                <c:ptCount val="4"/>
                <c:pt idx="0">
                  <c:v>1.0571851275533046</c:v>
                </c:pt>
                <c:pt idx="1">
                  <c:v>2.1786226897477698</c:v>
                </c:pt>
                <c:pt idx="2">
                  <c:v>30.580145799801755</c:v>
                </c:pt>
                <c:pt idx="3">
                  <c:v>17.292652477518107</c:v>
                </c:pt>
              </c:numCache>
            </c:numRef>
          </c:yVal>
          <c:smooth val="0"/>
          <c:extLst>
            <c:ext xmlns:c16="http://schemas.microsoft.com/office/drawing/2014/chart" uri="{C3380CC4-5D6E-409C-BE32-E72D297353CC}">
              <c16:uniqueId val="{00000002-FA7A-4FD7-AC21-B83ED4A74390}"/>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Data'!$V$78:$Y$78</c:f>
              <c:numCache>
                <c:formatCode>General</c:formatCode>
                <c:ptCount val="4"/>
                <c:pt idx="0">
                  <c:v>0.96733464513842016</c:v>
                </c:pt>
                <c:pt idx="1">
                  <c:v>1.3688858781225746</c:v>
                </c:pt>
                <c:pt idx="2">
                  <c:v>15.424245469951119</c:v>
                </c:pt>
                <c:pt idx="3">
                  <c:v>8.347544591336824</c:v>
                </c:pt>
              </c:numCache>
            </c:numRef>
          </c:yVal>
          <c:smooth val="0"/>
          <c:extLst>
            <c:ext xmlns:c16="http://schemas.microsoft.com/office/drawing/2014/chart" uri="{C3380CC4-5D6E-409C-BE32-E72D297353CC}">
              <c16:uniqueId val="{00000003-FA7A-4FD7-AC21-B83ED4A74390}"/>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Data'!$V$79:$Y$79</c:f>
              <c:numCache>
                <c:formatCode>General</c:formatCode>
                <c:ptCount val="4"/>
                <c:pt idx="0">
                  <c:v>0.98338581562737548</c:v>
                </c:pt>
                <c:pt idx="1">
                  <c:v>1.3927061396981595</c:v>
                </c:pt>
                <c:pt idx="2">
                  <c:v>10.044244299640861</c:v>
                </c:pt>
                <c:pt idx="3">
                  <c:v>5.2417930192768134</c:v>
                </c:pt>
              </c:numCache>
            </c:numRef>
          </c:yVal>
          <c:smooth val="0"/>
          <c:extLst>
            <c:ext xmlns:c16="http://schemas.microsoft.com/office/drawing/2014/chart" uri="{C3380CC4-5D6E-409C-BE32-E72D297353CC}">
              <c16:uniqueId val="{00000004-FA7A-4FD7-AC21-B83ED4A74390}"/>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25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Data'!$V$80:$Y$80</c:f>
              <c:numCache>
                <c:formatCode>General</c:formatCode>
                <c:ptCount val="4"/>
                <c:pt idx="0">
                  <c:v>1.0461492926598566</c:v>
                </c:pt>
                <c:pt idx="1">
                  <c:v>1.5422626144609475</c:v>
                </c:pt>
                <c:pt idx="2">
                  <c:v>0.43529492992921687</c:v>
                </c:pt>
                <c:pt idx="3">
                  <c:v>6.6924278705716808E-2</c:v>
                </c:pt>
              </c:numCache>
            </c:numRef>
          </c:yVal>
          <c:smooth val="0"/>
          <c:extLst>
            <c:ext xmlns:c16="http://schemas.microsoft.com/office/drawing/2014/chart" uri="{C3380CC4-5D6E-409C-BE32-E72D297353CC}">
              <c16:uniqueId val="{00000000-D8F9-4B29-935E-36B48366263F}"/>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Data'!$V$81:$Y$81</c:f>
              <c:numCache>
                <c:formatCode>General</c:formatCode>
                <c:ptCount val="4"/>
                <c:pt idx="0">
                  <c:v>0.95001156342014337</c:v>
                </c:pt>
                <c:pt idx="1">
                  <c:v>2.6499239094541993</c:v>
                </c:pt>
                <c:pt idx="2">
                  <c:v>26.744384515890925</c:v>
                </c:pt>
                <c:pt idx="3">
                  <c:v>12.992770618626343</c:v>
                </c:pt>
              </c:numCache>
            </c:numRef>
          </c:yVal>
          <c:smooth val="0"/>
          <c:extLst>
            <c:ext xmlns:c16="http://schemas.microsoft.com/office/drawing/2014/chart" uri="{C3380CC4-5D6E-409C-BE32-E72D297353CC}">
              <c16:uniqueId val="{00000001-D8F9-4B29-935E-36B48366263F}"/>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Data'!$V$82:$Y$82</c:f>
              <c:numCache>
                <c:formatCode>General</c:formatCode>
                <c:ptCount val="4"/>
                <c:pt idx="0">
                  <c:v>1.0872370228434511</c:v>
                </c:pt>
                <c:pt idx="1">
                  <c:v>1.7426564520435697</c:v>
                </c:pt>
                <c:pt idx="2">
                  <c:v>37.868166060003134</c:v>
                </c:pt>
                <c:pt idx="3">
                  <c:v>29.536066988837611</c:v>
                </c:pt>
              </c:numCache>
            </c:numRef>
          </c:yVal>
          <c:smooth val="0"/>
          <c:extLst>
            <c:ext xmlns:c16="http://schemas.microsoft.com/office/drawing/2014/chart" uri="{C3380CC4-5D6E-409C-BE32-E72D297353CC}">
              <c16:uniqueId val="{00000002-D8F9-4B29-935E-36B48366263F}"/>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Data'!$V$83:$Y$83</c:f>
              <c:numCache>
                <c:formatCode>General</c:formatCode>
                <c:ptCount val="4"/>
                <c:pt idx="0">
                  <c:v>1.1024060266750535</c:v>
                </c:pt>
                <c:pt idx="1">
                  <c:v>1.6192129263921502</c:v>
                </c:pt>
                <c:pt idx="2">
                  <c:v>25.370850644110607</c:v>
                </c:pt>
                <c:pt idx="3">
                  <c:v>21.775895968989051</c:v>
                </c:pt>
              </c:numCache>
            </c:numRef>
          </c:yVal>
          <c:smooth val="0"/>
          <c:extLst>
            <c:ext xmlns:c16="http://schemas.microsoft.com/office/drawing/2014/chart" uri="{C3380CC4-5D6E-409C-BE32-E72D297353CC}">
              <c16:uniqueId val="{00000003-D8F9-4B29-935E-36B48366263F}"/>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Data'!$V$84:$Y$84</c:f>
              <c:numCache>
                <c:formatCode>General</c:formatCode>
                <c:ptCount val="4"/>
                <c:pt idx="0">
                  <c:v>1.1100171389266671</c:v>
                </c:pt>
                <c:pt idx="1">
                  <c:v>1.4192986333503104</c:v>
                </c:pt>
                <c:pt idx="2">
                  <c:v>18.684887621841856</c:v>
                </c:pt>
                <c:pt idx="3">
                  <c:v>16.276748848604861</c:v>
                </c:pt>
              </c:numCache>
            </c:numRef>
          </c:yVal>
          <c:smooth val="0"/>
          <c:extLst>
            <c:ext xmlns:c16="http://schemas.microsoft.com/office/drawing/2014/chart" uri="{C3380CC4-5D6E-409C-BE32-E72D297353CC}">
              <c16:uniqueId val="{00000004-D8F9-4B29-935E-36B48366263F}"/>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35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Data'!$V$85:$Y$85</c:f>
              <c:numCache>
                <c:formatCode>General</c:formatCode>
                <c:ptCount val="4"/>
                <c:pt idx="0">
                  <c:v>1.1416465546378975</c:v>
                </c:pt>
                <c:pt idx="1">
                  <c:v>2.0346923000889134</c:v>
                </c:pt>
                <c:pt idx="2">
                  <c:v>0.12815034945067</c:v>
                </c:pt>
                <c:pt idx="3">
                  <c:v>1.9806135852198488E-2</c:v>
                </c:pt>
              </c:numCache>
            </c:numRef>
          </c:yVal>
          <c:smooth val="0"/>
          <c:extLst>
            <c:ext xmlns:c16="http://schemas.microsoft.com/office/drawing/2014/chart" uri="{C3380CC4-5D6E-409C-BE32-E72D297353CC}">
              <c16:uniqueId val="{00000000-BACA-4373-BD8A-13745251A9C3}"/>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Data'!$V$86:$Y$86</c:f>
              <c:numCache>
                <c:formatCode>General</c:formatCode>
                <c:ptCount val="4"/>
                <c:pt idx="0">
                  <c:v>1.1046127508224746</c:v>
                </c:pt>
                <c:pt idx="1">
                  <c:v>1.5726244540323542</c:v>
                </c:pt>
                <c:pt idx="2">
                  <c:v>21.490938073752123</c:v>
                </c:pt>
                <c:pt idx="3">
                  <c:v>9.3601098888740442</c:v>
                </c:pt>
              </c:numCache>
            </c:numRef>
          </c:yVal>
          <c:smooth val="0"/>
          <c:extLst>
            <c:ext xmlns:c16="http://schemas.microsoft.com/office/drawing/2014/chart" uri="{C3380CC4-5D6E-409C-BE32-E72D297353CC}">
              <c16:uniqueId val="{00000001-BACA-4373-BD8A-13745251A9C3}"/>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Data'!$V$87:$Y$87</c:f>
              <c:numCache>
                <c:formatCode>General</c:formatCode>
                <c:ptCount val="4"/>
                <c:pt idx="0">
                  <c:v>1.0742585224437595</c:v>
                </c:pt>
                <c:pt idx="1">
                  <c:v>1.4632562316774154</c:v>
                </c:pt>
                <c:pt idx="2">
                  <c:v>55.231137347802452</c:v>
                </c:pt>
                <c:pt idx="3">
                  <c:v>39.895570276490105</c:v>
                </c:pt>
              </c:numCache>
            </c:numRef>
          </c:yVal>
          <c:smooth val="0"/>
          <c:extLst>
            <c:ext xmlns:c16="http://schemas.microsoft.com/office/drawing/2014/chart" uri="{C3380CC4-5D6E-409C-BE32-E72D297353CC}">
              <c16:uniqueId val="{00000002-BACA-4373-BD8A-13745251A9C3}"/>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Data'!$V$88:$Y$88</c:f>
              <c:numCache>
                <c:formatCode>General</c:formatCode>
                <c:ptCount val="4"/>
                <c:pt idx="0">
                  <c:v>1.0399228737672064</c:v>
                </c:pt>
                <c:pt idx="1">
                  <c:v>1.6401972338361155</c:v>
                </c:pt>
                <c:pt idx="2">
                  <c:v>33.804463337367466</c:v>
                </c:pt>
                <c:pt idx="3">
                  <c:v>31.368191507667429</c:v>
                </c:pt>
              </c:numCache>
            </c:numRef>
          </c:yVal>
          <c:smooth val="0"/>
          <c:extLst>
            <c:ext xmlns:c16="http://schemas.microsoft.com/office/drawing/2014/chart" uri="{C3380CC4-5D6E-409C-BE32-E72D297353CC}">
              <c16:uniqueId val="{00000003-BACA-4373-BD8A-13745251A9C3}"/>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Data'!$V$89:$Y$89</c:f>
              <c:numCache>
                <c:formatCode>General</c:formatCode>
                <c:ptCount val="4"/>
                <c:pt idx="0">
                  <c:v>1.1128593559995958</c:v>
                </c:pt>
                <c:pt idx="1">
                  <c:v>1.2988772859168447</c:v>
                </c:pt>
                <c:pt idx="2">
                  <c:v>24.010928135944106</c:v>
                </c:pt>
                <c:pt idx="3">
                  <c:v>12.707778018617077</c:v>
                </c:pt>
              </c:numCache>
            </c:numRef>
          </c:yVal>
          <c:smooth val="0"/>
          <c:extLst>
            <c:ext xmlns:c16="http://schemas.microsoft.com/office/drawing/2014/chart" uri="{C3380CC4-5D6E-409C-BE32-E72D297353CC}">
              <c16:uniqueId val="{00000004-BACA-4373-BD8A-13745251A9C3}"/>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b="1"/>
              <a:t>5 ng FlpO</a:t>
            </a:r>
          </a:p>
        </c:rich>
      </c:tx>
      <c:overlay val="0"/>
      <c:spPr>
        <a:noFill/>
        <a:ln>
          <a:noFill/>
        </a:ln>
        <a:effectLst/>
      </c:spPr>
      <c:txPr>
        <a:bodyPr rot="0" spcFirstLastPara="1" vertOverflow="ellipsis" vert="horz" wrap="square" anchor="ctr" anchorCtr="1"/>
        <a:lstStyle/>
        <a:p>
          <a:pPr>
            <a:defRPr sz="192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chemeClr val="tx1"/>
              </a:solidFill>
              <a:round/>
            </a:ln>
            <a:effectLst/>
          </c:spPr>
          <c:marker>
            <c:symbol val="none"/>
          </c:marker>
          <c:xVal>
            <c:numRef>
              <c:f>'TASBE Data'!$V$69:$Y$69</c:f>
              <c:numCache>
                <c:formatCode>General</c:formatCode>
                <c:ptCount val="4"/>
                <c:pt idx="0">
                  <c:v>6</c:v>
                </c:pt>
                <c:pt idx="1">
                  <c:v>12</c:v>
                </c:pt>
                <c:pt idx="2">
                  <c:v>48</c:v>
                </c:pt>
                <c:pt idx="3">
                  <c:v>96</c:v>
                </c:pt>
              </c:numCache>
            </c:numRef>
          </c:xVal>
          <c:yVal>
            <c:numRef>
              <c:f>'TASBE Data'!$V$70:$Y$70</c:f>
              <c:numCache>
                <c:formatCode>General</c:formatCode>
                <c:ptCount val="4"/>
                <c:pt idx="0">
                  <c:v>0.98877546401402205</c:v>
                </c:pt>
                <c:pt idx="1">
                  <c:v>1.204089610494854</c:v>
                </c:pt>
                <c:pt idx="2">
                  <c:v>4.9500732169095487</c:v>
                </c:pt>
                <c:pt idx="3">
                  <c:v>0.29451973207881049</c:v>
                </c:pt>
              </c:numCache>
            </c:numRef>
          </c:yVal>
          <c:smooth val="0"/>
          <c:extLst>
            <c:ext xmlns:c16="http://schemas.microsoft.com/office/drawing/2014/chart" uri="{C3380CC4-5D6E-409C-BE32-E72D297353CC}">
              <c16:uniqueId val="{00000000-3297-46F4-8810-6A9A0C7AE2AA}"/>
            </c:ext>
          </c:extLst>
        </c:ser>
        <c:ser>
          <c:idx val="1"/>
          <c:order val="1"/>
          <c:tx>
            <c:v>5 ng shRNA</c:v>
          </c:tx>
          <c:spPr>
            <a:ln w="19050" cap="rnd">
              <a:solidFill>
                <a:srgbClr val="FF7C80"/>
              </a:solidFill>
              <a:round/>
            </a:ln>
            <a:effectLst/>
          </c:spPr>
          <c:marker>
            <c:symbol val="circle"/>
            <c:size val="5"/>
            <c:spPr>
              <a:solidFill>
                <a:srgbClr val="FF9999"/>
              </a:solidFill>
              <a:ln w="9525">
                <a:solidFill>
                  <a:srgbClr val="FF0000"/>
                </a:solidFill>
              </a:ln>
              <a:effectLst/>
            </c:spPr>
          </c:marker>
          <c:xVal>
            <c:numRef>
              <c:f>'TASBE Data'!$V$69:$Y$69</c:f>
              <c:numCache>
                <c:formatCode>General</c:formatCode>
                <c:ptCount val="4"/>
                <c:pt idx="0">
                  <c:v>6</c:v>
                </c:pt>
                <c:pt idx="1">
                  <c:v>12</c:v>
                </c:pt>
                <c:pt idx="2">
                  <c:v>48</c:v>
                </c:pt>
                <c:pt idx="3">
                  <c:v>96</c:v>
                </c:pt>
              </c:numCache>
            </c:numRef>
          </c:xVal>
          <c:yVal>
            <c:numRef>
              <c:f>'TASBE Data'!$V$72:$Y$72</c:f>
              <c:numCache>
                <c:formatCode>General</c:formatCode>
                <c:ptCount val="4"/>
                <c:pt idx="0">
                  <c:v>0.91176960768714321</c:v>
                </c:pt>
                <c:pt idx="1">
                  <c:v>1.3217056387254564</c:v>
                </c:pt>
                <c:pt idx="2">
                  <c:v>7.8308113027215294</c:v>
                </c:pt>
                <c:pt idx="3">
                  <c:v>5.0906534329766213</c:v>
                </c:pt>
              </c:numCache>
            </c:numRef>
          </c:yVal>
          <c:smooth val="0"/>
          <c:extLst>
            <c:ext xmlns:c16="http://schemas.microsoft.com/office/drawing/2014/chart" uri="{C3380CC4-5D6E-409C-BE32-E72D297353CC}">
              <c16:uniqueId val="{00000001-3297-46F4-8810-6A9A0C7AE2AA}"/>
            </c:ext>
          </c:extLst>
        </c:ser>
        <c:ser>
          <c:idx val="4"/>
          <c:order val="2"/>
          <c:tx>
            <c:v>20 ng shRNA</c:v>
          </c:tx>
          <c:spPr>
            <a:ln w="19050" cap="rnd">
              <a:solidFill>
                <a:schemeClr val="accent1"/>
              </a:solidFill>
              <a:round/>
            </a:ln>
            <a:effectLst/>
          </c:spPr>
          <c:marker>
            <c:symbol val="none"/>
          </c:marker>
          <c:xVal>
            <c:numRef>
              <c:f>'TASBE Data'!$V$69:$Y$69</c:f>
              <c:numCache>
                <c:formatCode>General</c:formatCode>
                <c:ptCount val="4"/>
                <c:pt idx="0">
                  <c:v>6</c:v>
                </c:pt>
                <c:pt idx="1">
                  <c:v>12</c:v>
                </c:pt>
                <c:pt idx="2">
                  <c:v>48</c:v>
                </c:pt>
                <c:pt idx="3">
                  <c:v>96</c:v>
                </c:pt>
              </c:numCache>
            </c:numRef>
          </c:xVal>
          <c:yVal>
            <c:numRef>
              <c:f>'TASBE Data'!$V$74:$Y$74</c:f>
              <c:numCache>
                <c:formatCode>General</c:formatCode>
                <c:ptCount val="4"/>
                <c:pt idx="0">
                  <c:v>1.0069224822242964</c:v>
                </c:pt>
                <c:pt idx="1">
                  <c:v>1.3267467500737995</c:v>
                </c:pt>
                <c:pt idx="2">
                  <c:v>1.5410248669416737</c:v>
                </c:pt>
                <c:pt idx="3">
                  <c:v>2.1352671542979342</c:v>
                </c:pt>
              </c:numCache>
            </c:numRef>
          </c:yVal>
          <c:smooth val="0"/>
          <c:extLst>
            <c:ext xmlns:c16="http://schemas.microsoft.com/office/drawing/2014/chart" uri="{C3380CC4-5D6E-409C-BE32-E72D297353CC}">
              <c16:uniqueId val="{00000002-3297-46F4-8810-6A9A0C7AE2AA}"/>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title>
          <c:tx>
            <c:rich>
              <a:bodyPr rot="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Time (hr)</a:t>
                </a:r>
              </a:p>
            </c:rich>
          </c:tx>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30"/>
        </c:scaling>
        <c:delete val="0"/>
        <c:axPos val="l"/>
        <c:title>
          <c:tx>
            <c:rich>
              <a:bodyPr rot="-540000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Memory</a:t>
                </a:r>
              </a:p>
            </c:rich>
          </c:tx>
          <c:overlay val="0"/>
          <c:spPr>
            <a:noFill/>
            <a:ln>
              <a:noFill/>
            </a:ln>
            <a:effectLst/>
          </c:spPr>
          <c:txPr>
            <a:bodyPr rot="-540000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5 ng FlpO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rgbClr val="FF9999"/>
              </a:solidFill>
              <a:ln w="9525">
                <a:solidFill>
                  <a:srgbClr val="FF9999"/>
                </a:solidFill>
              </a:ln>
              <a:effectLst/>
            </c:spPr>
          </c:marker>
          <c:xVal>
            <c:numRef>
              <c:f>'TASBE Data'!$V$45:$Y$45</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4BBC-4AEA-9037-2D89AC3AAC2E}"/>
            </c:ext>
          </c:extLst>
        </c:ser>
        <c:ser>
          <c:idx val="1"/>
          <c:order val="1"/>
          <c:tx>
            <c:v>5</c:v>
          </c:tx>
          <c:spPr>
            <a:ln w="19050" cap="rnd">
              <a:solidFill>
                <a:schemeClr val="accent2"/>
              </a:solidFill>
              <a:round/>
            </a:ln>
            <a:effectLst/>
          </c:spPr>
          <c:marker>
            <c:symbol val="circle"/>
            <c:size val="5"/>
            <c:spPr>
              <a:solidFill>
                <a:srgbClr val="FF7C80"/>
              </a:solidFill>
              <a:ln w="9525">
                <a:solidFill>
                  <a:srgbClr val="FF7C80"/>
                </a:solidFill>
              </a:ln>
              <a:effectLst/>
            </c:spPr>
          </c:marker>
          <c:xVal>
            <c:numRef>
              <c:f>'TASBE Data'!$V$45:$Y$45</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1-4BBC-4AEA-9037-2D89AC3AAC2E}"/>
            </c:ext>
          </c:extLst>
        </c:ser>
        <c:ser>
          <c:idx val="4"/>
          <c:order val="2"/>
          <c:tx>
            <c:v>20</c:v>
          </c:tx>
          <c:spPr>
            <a:ln w="19050" cap="rnd">
              <a:solidFill>
                <a:schemeClr val="accent5"/>
              </a:solidFill>
              <a:round/>
            </a:ln>
            <a:effectLst/>
          </c:spPr>
          <c:marker>
            <c:symbol val="circle"/>
            <c:size val="5"/>
            <c:spPr>
              <a:solidFill>
                <a:srgbClr val="A50021"/>
              </a:solidFill>
              <a:ln w="9525">
                <a:solidFill>
                  <a:srgbClr val="A50021"/>
                </a:solidFill>
              </a:ln>
              <a:effectLst/>
            </c:spPr>
          </c:marker>
          <c:xVal>
            <c:numRef>
              <c:f>'TASBE Data'!$V$45:$Y$45</c:f>
              <c:numCache>
                <c:formatCode>General</c:formatCode>
                <c:ptCount val="4"/>
                <c:pt idx="0">
                  <c:v>6</c:v>
                </c:pt>
                <c:pt idx="1">
                  <c:v>12</c:v>
                </c:pt>
                <c:pt idx="2">
                  <c:v>48</c:v>
                </c:pt>
                <c:pt idx="3">
                  <c:v>96</c:v>
                </c:pt>
              </c:numCache>
            </c:numRef>
          </c:xVal>
          <c:yVal>
            <c:numRef>
              <c:f>'TASBE Data'!$V$50:$Y$50</c:f>
              <c:numCache>
                <c:formatCode>General</c:formatCode>
                <c:ptCount val="4"/>
                <c:pt idx="0">
                  <c:v>-20</c:v>
                </c:pt>
                <c:pt idx="1">
                  <c:v>-20</c:v>
                </c:pt>
                <c:pt idx="2">
                  <c:v>-13.658384375239844</c:v>
                </c:pt>
                <c:pt idx="3">
                  <c:v>-10.773445919765162</c:v>
                </c:pt>
              </c:numCache>
            </c:numRef>
          </c:yVal>
          <c:smooth val="0"/>
          <c:extLst>
            <c:ext xmlns:c16="http://schemas.microsoft.com/office/drawing/2014/chart" uri="{C3380CC4-5D6E-409C-BE32-E72D297353CC}">
              <c16:uniqueId val="{00000002-4BBC-4AEA-9037-2D89AC3AAC2E}"/>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Output SNR</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errBars>
            <c:errDir val="y"/>
            <c:errBarType val="both"/>
            <c:errValType val="cust"/>
            <c:noEndCap val="0"/>
            <c:plus>
              <c:numRef>
                <c:f>'TASBE Data'!$AG$3:$AJ$3</c:f>
                <c:numCache>
                  <c:formatCode>General</c:formatCode>
                  <c:ptCount val="4"/>
                  <c:pt idx="0">
                    <c:v>253.98466639705399</c:v>
                  </c:pt>
                  <c:pt idx="1">
                    <c:v>318.86354962063177</c:v>
                  </c:pt>
                  <c:pt idx="2">
                    <c:v>30261.157824464903</c:v>
                  </c:pt>
                  <c:pt idx="3">
                    <c:v>1172672.9684347499</c:v>
                  </c:pt>
                </c:numCache>
              </c:numRef>
            </c:plus>
            <c:minus>
              <c:numRef>
                <c:f>'TASBE Data'!$AG$3:$AJ$3</c:f>
                <c:numCache>
                  <c:formatCode>General</c:formatCode>
                  <c:ptCount val="4"/>
                  <c:pt idx="0">
                    <c:v>253.98466639705399</c:v>
                  </c:pt>
                  <c:pt idx="1">
                    <c:v>318.86354962063177</c:v>
                  </c:pt>
                  <c:pt idx="2">
                    <c:v>30261.157824464903</c:v>
                  </c:pt>
                  <c:pt idx="3">
                    <c:v>1172672.9684347499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Data'!$AC$3,'TASBE Data'!$AD$3,'TASBE Data'!$AE$3,'TASBE Data'!$AF$3)</c:f>
              <c:numCache>
                <c:formatCode>General</c:formatCode>
                <c:ptCount val="4"/>
                <c:pt idx="0">
                  <c:v>2637.1482585521735</c:v>
                </c:pt>
                <c:pt idx="1">
                  <c:v>4007.7378796144512</c:v>
                </c:pt>
                <c:pt idx="2">
                  <c:v>422272.92536276957</c:v>
                </c:pt>
                <c:pt idx="3">
                  <c:v>160561.09012144167</c:v>
                </c:pt>
              </c:numCache>
            </c:numRef>
          </c:yVal>
          <c:smooth val="0"/>
          <c:extLst>
            <c:ext xmlns:c16="http://schemas.microsoft.com/office/drawing/2014/chart" uri="{C3380CC4-5D6E-409C-BE32-E72D297353CC}">
              <c16:uniqueId val="{00000000-4E80-4CB4-A8B7-4A8E16BF3DCF}"/>
            </c:ext>
          </c:extLst>
        </c:ser>
        <c:ser>
          <c:idx val="1"/>
          <c:order val="1"/>
          <c:tx>
            <c:v>0-</c:v>
          </c:tx>
          <c:spPr>
            <a:ln w="25400" cap="rnd">
              <a:solidFill>
                <a:srgbClr val="FF0000"/>
              </a:solidFill>
              <a:prstDash val="dash"/>
              <a:round/>
            </a:ln>
            <a:effectLst/>
          </c:spPr>
          <c:marker>
            <c:symbol val="none"/>
          </c:marker>
          <c:errBars>
            <c:errDir val="y"/>
            <c:errBarType val="both"/>
            <c:errValType val="cust"/>
            <c:noEndCap val="0"/>
            <c:plus>
              <c:numRef>
                <c:f>'TASBE Data'!$AG$4:$AJ$4</c:f>
                <c:numCache>
                  <c:formatCode>General</c:formatCode>
                  <c:ptCount val="4"/>
                  <c:pt idx="0">
                    <c:v>198.71004700387718</c:v>
                  </c:pt>
                  <c:pt idx="1">
                    <c:v>636.94664619791047</c:v>
                  </c:pt>
                  <c:pt idx="2">
                    <c:v>454.97927748741915</c:v>
                  </c:pt>
                  <c:pt idx="3">
                    <c:v>9082.7539379201316</c:v>
                  </c:pt>
                </c:numCache>
              </c:numRef>
            </c:plus>
            <c:minus>
              <c:numRef>
                <c:f>'TASBE Data'!$AG$4:$AJ$4</c:f>
                <c:numCache>
                  <c:formatCode>General</c:formatCode>
                  <c:ptCount val="4"/>
                  <c:pt idx="0">
                    <c:v>198.71004700387718</c:v>
                  </c:pt>
                  <c:pt idx="1">
                    <c:v>636.94664619791047</c:v>
                  </c:pt>
                  <c:pt idx="2">
                    <c:v>454.97927748741915</c:v>
                  </c:pt>
                  <c:pt idx="3">
                    <c:v>9082.7539379201316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Data'!$AC$4,'TASBE Data'!$AD$4,'TASBE Data'!$AE$4,'TASBE Data'!$AF$4)</c:f>
              <c:numCache>
                <c:formatCode>General</c:formatCode>
                <c:ptCount val="4"/>
                <c:pt idx="0">
                  <c:v>2667.0850506812085</c:v>
                </c:pt>
                <c:pt idx="1">
                  <c:v>2979.4677071750029</c:v>
                </c:pt>
                <c:pt idx="2">
                  <c:v>15083.747011058394</c:v>
                </c:pt>
                <c:pt idx="3">
                  <c:v>38131.280371647801</c:v>
                </c:pt>
              </c:numCache>
            </c:numRef>
          </c:yVal>
          <c:smooth val="0"/>
          <c:extLst>
            <c:ext xmlns:c16="http://schemas.microsoft.com/office/drawing/2014/chart" uri="{C3380CC4-5D6E-409C-BE32-E72D297353CC}">
              <c16:uniqueId val="{00000001-4E80-4CB4-A8B7-4A8E16BF3DCF}"/>
            </c:ext>
          </c:extLst>
        </c:ser>
        <c:ser>
          <c:idx val="4"/>
          <c:order val="2"/>
          <c:tx>
            <c:v>5+</c:v>
          </c:tx>
          <c:spPr>
            <a:ln w="25400" cap="rnd">
              <a:solidFill>
                <a:srgbClr val="0000FF"/>
              </a:solidFill>
              <a:round/>
            </a:ln>
            <a:effectLst/>
          </c:spPr>
          <c:marker>
            <c:symbol val="none"/>
          </c:marker>
          <c:errBars>
            <c:errDir val="y"/>
            <c:errBarType val="both"/>
            <c:errValType val="cust"/>
            <c:noEndCap val="0"/>
            <c:plus>
              <c:numRef>
                <c:f>'TASBE Data'!$AG$7:$AJ$7</c:f>
                <c:numCache>
                  <c:formatCode>General</c:formatCode>
                  <c:ptCount val="4"/>
                  <c:pt idx="0">
                    <c:v>72.397576584015226</c:v>
                  </c:pt>
                  <c:pt idx="1">
                    <c:v>85.445484875497371</c:v>
                  </c:pt>
                  <c:pt idx="2">
                    <c:v>7706.8519574368911</c:v>
                  </c:pt>
                  <c:pt idx="3">
                    <c:v>15989.61574830692</c:v>
                  </c:pt>
                </c:numCache>
              </c:numRef>
            </c:plus>
            <c:minus>
              <c:numRef>
                <c:f>'TASBE Data'!$AG$7:$AJ$7</c:f>
                <c:numCache>
                  <c:formatCode>General</c:formatCode>
                  <c:ptCount val="4"/>
                  <c:pt idx="0">
                    <c:v>72.397576584015226</c:v>
                  </c:pt>
                  <c:pt idx="1">
                    <c:v>85.445484875497371</c:v>
                  </c:pt>
                  <c:pt idx="2">
                    <c:v>7706.8519574368911</c:v>
                  </c:pt>
                  <c:pt idx="3">
                    <c:v>15989.61574830692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Data'!$AC$7,'TASBE Data'!$AD$7,'TASBE Data'!$AE$7,'TASBE Data'!$AF$7)</c:f>
              <c:numCache>
                <c:formatCode>General</c:formatCode>
                <c:ptCount val="4"/>
                <c:pt idx="0">
                  <c:v>2609.8471199283053</c:v>
                </c:pt>
                <c:pt idx="1">
                  <c:v>3123.1400914313872</c:v>
                </c:pt>
                <c:pt idx="2">
                  <c:v>74280.147664009943</c:v>
                </c:pt>
                <c:pt idx="3">
                  <c:v>100710.98607819123</c:v>
                </c:pt>
              </c:numCache>
            </c:numRef>
          </c:yVal>
          <c:smooth val="0"/>
          <c:extLst>
            <c:ext xmlns:c16="http://schemas.microsoft.com/office/drawing/2014/chart" uri="{C3380CC4-5D6E-409C-BE32-E72D297353CC}">
              <c16:uniqueId val="{00000002-4E80-4CB4-A8B7-4A8E16BF3DCF}"/>
            </c:ext>
          </c:extLst>
        </c:ser>
        <c:ser>
          <c:idx val="5"/>
          <c:order val="3"/>
          <c:tx>
            <c:v>5-</c:v>
          </c:tx>
          <c:spPr>
            <a:ln w="25400" cap="rnd">
              <a:solidFill>
                <a:srgbClr val="FF0000"/>
              </a:solidFill>
              <a:round/>
            </a:ln>
            <a:effectLst/>
          </c:spPr>
          <c:marker>
            <c:symbol val="none"/>
          </c:marker>
          <c:errBars>
            <c:errDir val="y"/>
            <c:errBarType val="both"/>
            <c:errValType val="cust"/>
            <c:noEndCap val="0"/>
            <c:plus>
              <c:numRef>
                <c:f>'TASBE Data'!$AG$8:$AJ$8</c:f>
                <c:numCache>
                  <c:formatCode>General</c:formatCode>
                  <c:ptCount val="4"/>
                  <c:pt idx="0">
                    <c:v>17.81631298105593</c:v>
                  </c:pt>
                  <c:pt idx="1">
                    <c:v>18.898002846631421</c:v>
                  </c:pt>
                  <c:pt idx="2">
                    <c:v>84.575753085745134</c:v>
                  </c:pt>
                  <c:pt idx="3">
                    <c:v>208.36509626031688</c:v>
                  </c:pt>
                </c:numCache>
              </c:numRef>
            </c:plus>
            <c:minus>
              <c:numRef>
                <c:f>'TASBE Data'!$AG$8:$AJ$8</c:f>
                <c:numCache>
                  <c:formatCode>General</c:formatCode>
                  <c:ptCount val="4"/>
                  <c:pt idx="0">
                    <c:v>17.81631298105593</c:v>
                  </c:pt>
                  <c:pt idx="1">
                    <c:v>18.898002846631421</c:v>
                  </c:pt>
                  <c:pt idx="2">
                    <c:v>84.575753085745134</c:v>
                  </c:pt>
                  <c:pt idx="3">
                    <c:v>208.36509626031688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Data'!$AC$8,'TASBE Data'!$AD$8,'TASBE Data'!$AE$8,'TASBE Data'!$AF$8)</c:f>
              <c:numCache>
                <c:formatCode>General</c:formatCode>
                <c:ptCount val="4"/>
                <c:pt idx="0">
                  <c:v>2862.3975814993669</c:v>
                </c:pt>
                <c:pt idx="1">
                  <c:v>2600.7184545708533</c:v>
                </c:pt>
                <c:pt idx="2">
                  <c:v>5210.7228919400559</c:v>
                </c:pt>
                <c:pt idx="3">
                  <c:v>7525.175561442612</c:v>
                </c:pt>
              </c:numCache>
            </c:numRef>
          </c:yVal>
          <c:smooth val="0"/>
          <c:extLst>
            <c:ext xmlns:c16="http://schemas.microsoft.com/office/drawing/2014/chart" uri="{C3380CC4-5D6E-409C-BE32-E72D297353CC}">
              <c16:uniqueId val="{00000003-4E80-4CB4-A8B7-4A8E16BF3DCF}"/>
            </c:ext>
          </c:extLst>
        </c:ser>
        <c:dLbls>
          <c:showLegendKey val="0"/>
          <c:showVal val="0"/>
          <c:showCatName val="0"/>
          <c:showSerName val="0"/>
          <c:showPercent val="0"/>
          <c:showBubbleSize val="0"/>
        </c:dLbls>
        <c:axId val="545396744"/>
        <c:axId val="545394776"/>
      </c:scatterChart>
      <c:valAx>
        <c:axId val="545396744"/>
        <c:scaling>
          <c:orientation val="minMax"/>
          <c:max val="100"/>
        </c:scaling>
        <c:delete val="0"/>
        <c:axPos val="b"/>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4776"/>
        <c:crosses val="autoZero"/>
        <c:crossBetween val="midCat"/>
      </c:valAx>
      <c:valAx>
        <c:axId val="545394776"/>
        <c:scaling>
          <c:logBase val="10"/>
          <c:orientation val="minMax"/>
          <c:max val="10000000"/>
          <c:min val="1000"/>
        </c:scaling>
        <c:delete val="0"/>
        <c:axPos val="l"/>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errBars>
            <c:errDir val="y"/>
            <c:errBarType val="both"/>
            <c:errValType val="cust"/>
            <c:noEndCap val="0"/>
            <c:plus>
              <c:numRef>
                <c:f>'TASBE Data'!$AG$33:$AJ$33</c:f>
                <c:numCache>
                  <c:formatCode>General</c:formatCode>
                  <c:ptCount val="4"/>
                  <c:pt idx="0">
                    <c:v>200.37998024301581</c:v>
                  </c:pt>
                  <c:pt idx="1">
                    <c:v>119.86023447029193</c:v>
                  </c:pt>
                  <c:pt idx="2">
                    <c:v>106338.4290738761</c:v>
                  </c:pt>
                  <c:pt idx="3">
                    <c:v>13343.529589227866</c:v>
                  </c:pt>
                </c:numCache>
              </c:numRef>
            </c:plus>
            <c:minus>
              <c:numRef>
                <c:f>'TASBE Data'!$AG$33:$AJ$33</c:f>
                <c:numCache>
                  <c:formatCode>General</c:formatCode>
                  <c:ptCount val="4"/>
                  <c:pt idx="0">
                    <c:v>200.37998024301581</c:v>
                  </c:pt>
                  <c:pt idx="1">
                    <c:v>119.86023447029193</c:v>
                  </c:pt>
                  <c:pt idx="2">
                    <c:v>106338.4290738761</c:v>
                  </c:pt>
                  <c:pt idx="3">
                    <c:v>13343.529589227866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Data'!$AC$33,'TASBE Data'!$AD$33,'TASBE Data'!$AE$33,'TASBE Data'!$AF$33)</c:f>
              <c:numCache>
                <c:formatCode>General</c:formatCode>
                <c:ptCount val="4"/>
                <c:pt idx="0">
                  <c:v>2952.3398995253629</c:v>
                </c:pt>
                <c:pt idx="1">
                  <c:v>9546.333103322846</c:v>
                </c:pt>
                <c:pt idx="2">
                  <c:v>711671.49199743918</c:v>
                </c:pt>
                <c:pt idx="3">
                  <c:v>721460.59255254723</c:v>
                </c:pt>
              </c:numCache>
            </c:numRef>
          </c:yVal>
          <c:smooth val="0"/>
          <c:extLst>
            <c:ext xmlns:c16="http://schemas.microsoft.com/office/drawing/2014/chart" uri="{C3380CC4-5D6E-409C-BE32-E72D297353CC}">
              <c16:uniqueId val="{00000000-227F-4030-8D49-D790AE5DC5C1}"/>
            </c:ext>
          </c:extLst>
        </c:ser>
        <c:ser>
          <c:idx val="1"/>
          <c:order val="1"/>
          <c:tx>
            <c:v>0-</c:v>
          </c:tx>
          <c:spPr>
            <a:ln w="25400" cap="rnd">
              <a:solidFill>
                <a:srgbClr val="FF0000"/>
              </a:solidFill>
              <a:prstDash val="dash"/>
              <a:round/>
            </a:ln>
            <a:effectLst/>
          </c:spPr>
          <c:marker>
            <c:symbol val="none"/>
          </c:marker>
          <c:errBars>
            <c:errDir val="y"/>
            <c:errBarType val="both"/>
            <c:errValType val="cust"/>
            <c:noEndCap val="0"/>
            <c:plus>
              <c:numRef>
                <c:f>'TASBE Data'!$AG$34:$AJ$34</c:f>
                <c:numCache>
                  <c:formatCode>General</c:formatCode>
                  <c:ptCount val="4"/>
                  <c:pt idx="0">
                    <c:v>57.891463503357322</c:v>
                  </c:pt>
                  <c:pt idx="1">
                    <c:v>120.94943487126733</c:v>
                  </c:pt>
                  <c:pt idx="2">
                    <c:v>18175.011722801857</c:v>
                  </c:pt>
                  <c:pt idx="3">
                    <c:v>19847.264529497577</c:v>
                  </c:pt>
                </c:numCache>
              </c:numRef>
            </c:plus>
            <c:minus>
              <c:numRef>
                <c:f>'TASBE Data'!$AG$34:$AJ$34</c:f>
                <c:numCache>
                  <c:formatCode>General</c:formatCode>
                  <c:ptCount val="4"/>
                  <c:pt idx="0">
                    <c:v>57.891463503357322</c:v>
                  </c:pt>
                  <c:pt idx="1">
                    <c:v>120.94943487126733</c:v>
                  </c:pt>
                  <c:pt idx="2">
                    <c:v>18175.011722801857</c:v>
                  </c:pt>
                  <c:pt idx="3">
                    <c:v>19847.264529497577</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Data'!$AC$34,'TASBE Data'!$AD$34,'TASBE Data'!$AE$34,'TASBE Data'!$AF$34)</c:f>
              <c:numCache>
                <c:formatCode>General</c:formatCode>
                <c:ptCount val="4"/>
                <c:pt idx="0">
                  <c:v>2586.0367094628277</c:v>
                </c:pt>
                <c:pt idx="1">
                  <c:v>3483.2629797143459</c:v>
                </c:pt>
                <c:pt idx="2">
                  <c:v>119838.73885578997</c:v>
                </c:pt>
                <c:pt idx="3">
                  <c:v>306918.99895130767</c:v>
                </c:pt>
              </c:numCache>
            </c:numRef>
          </c:yVal>
          <c:smooth val="0"/>
          <c:extLst>
            <c:ext xmlns:c16="http://schemas.microsoft.com/office/drawing/2014/chart" uri="{C3380CC4-5D6E-409C-BE32-E72D297353CC}">
              <c16:uniqueId val="{00000001-227F-4030-8D49-D790AE5DC5C1}"/>
            </c:ext>
          </c:extLst>
        </c:ser>
        <c:ser>
          <c:idx val="4"/>
          <c:order val="2"/>
          <c:tx>
            <c:v>5+</c:v>
          </c:tx>
          <c:spPr>
            <a:ln w="25400" cap="rnd">
              <a:solidFill>
                <a:srgbClr val="0000FF"/>
              </a:solidFill>
              <a:round/>
            </a:ln>
            <a:effectLst/>
          </c:spPr>
          <c:marker>
            <c:symbol val="none"/>
          </c:marker>
          <c:errBars>
            <c:errDir val="y"/>
            <c:errBarType val="both"/>
            <c:errValType val="cust"/>
            <c:noEndCap val="0"/>
            <c:plus>
              <c:numRef>
                <c:f>'TASBE Data'!$AG$37:$AJ$37</c:f>
                <c:numCache>
                  <c:formatCode>General</c:formatCode>
                  <c:ptCount val="4"/>
                  <c:pt idx="0">
                    <c:v>146.95842791674173</c:v>
                  </c:pt>
                  <c:pt idx="1">
                    <c:v>351.32755447532878</c:v>
                  </c:pt>
                  <c:pt idx="2">
                    <c:v>30929.856286321577</c:v>
                  </c:pt>
                  <c:pt idx="3">
                    <c:v>51555.382329058913</c:v>
                  </c:pt>
                </c:numCache>
              </c:numRef>
            </c:plus>
            <c:minus>
              <c:numRef>
                <c:f>'TASBE Data'!$AG$37:$AJ$37</c:f>
                <c:numCache>
                  <c:formatCode>General</c:formatCode>
                  <c:ptCount val="4"/>
                  <c:pt idx="0">
                    <c:v>146.95842791674173</c:v>
                  </c:pt>
                  <c:pt idx="1">
                    <c:v>351.32755447532878</c:v>
                  </c:pt>
                  <c:pt idx="2">
                    <c:v>30929.856286321577</c:v>
                  </c:pt>
                  <c:pt idx="3">
                    <c:v>51555.382329058913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Data'!$AC$37,'TASBE Data'!$AD$37,'TASBE Data'!$AE$37,'TASBE Data'!$AF$37)</c:f>
              <c:numCache>
                <c:formatCode>General</c:formatCode>
                <c:ptCount val="4"/>
                <c:pt idx="0">
                  <c:v>2785.4578618951537</c:v>
                </c:pt>
                <c:pt idx="1">
                  <c:v>5328.8900607416363</c:v>
                </c:pt>
                <c:pt idx="2">
                  <c:v>452974.17182967946</c:v>
                </c:pt>
                <c:pt idx="3">
                  <c:v>722538.17859353404</c:v>
                </c:pt>
              </c:numCache>
            </c:numRef>
          </c:yVal>
          <c:smooth val="0"/>
          <c:extLst>
            <c:ext xmlns:c16="http://schemas.microsoft.com/office/drawing/2014/chart" uri="{C3380CC4-5D6E-409C-BE32-E72D297353CC}">
              <c16:uniqueId val="{00000002-227F-4030-8D49-D790AE5DC5C1}"/>
            </c:ext>
          </c:extLst>
        </c:ser>
        <c:ser>
          <c:idx val="5"/>
          <c:order val="3"/>
          <c:tx>
            <c:v>5-</c:v>
          </c:tx>
          <c:spPr>
            <a:ln w="25400" cap="rnd">
              <a:solidFill>
                <a:srgbClr val="FF0000"/>
              </a:solidFill>
              <a:round/>
            </a:ln>
            <a:effectLst/>
          </c:spPr>
          <c:marker>
            <c:symbol val="none"/>
          </c:marker>
          <c:errBars>
            <c:errDir val="y"/>
            <c:errBarType val="both"/>
            <c:errValType val="cust"/>
            <c:noEndCap val="0"/>
            <c:plus>
              <c:numRef>
                <c:f>'TASBE Data'!$AG$38:$AJ$38</c:f>
                <c:numCache>
                  <c:formatCode>General</c:formatCode>
                  <c:ptCount val="4"/>
                  <c:pt idx="0">
                    <c:v>94.996616295732196</c:v>
                  </c:pt>
                  <c:pt idx="1">
                    <c:v>121.86465641304677</c:v>
                  </c:pt>
                  <c:pt idx="2">
                    <c:v>796.91193399429619</c:v>
                  </c:pt>
                  <c:pt idx="3">
                    <c:v>1582.6681207990111</c:v>
                  </c:pt>
                </c:numCache>
              </c:numRef>
            </c:plus>
            <c:minus>
              <c:numRef>
                <c:f>'TASBE Data'!$AG$38:$AJ$38</c:f>
                <c:numCache>
                  <c:formatCode>General</c:formatCode>
                  <c:ptCount val="4"/>
                  <c:pt idx="0">
                    <c:v>94.996616295732196</c:v>
                  </c:pt>
                  <c:pt idx="1">
                    <c:v>121.86465641304677</c:v>
                  </c:pt>
                  <c:pt idx="2">
                    <c:v>796.91193399429619</c:v>
                  </c:pt>
                  <c:pt idx="3">
                    <c:v>1582.6681207990111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Data'!$AC$38,'TASBE Data'!$AD$38,'TASBE Data'!$AE$38,'TASBE Data'!$AF$38)</c:f>
              <c:numCache>
                <c:formatCode>General</c:formatCode>
                <c:ptCount val="4"/>
                <c:pt idx="0">
                  <c:v>2592.9120446340048</c:v>
                </c:pt>
                <c:pt idx="1">
                  <c:v>3072.9258557506309</c:v>
                </c:pt>
                <c:pt idx="2">
                  <c:v>4611.4618392484508</c:v>
                </c:pt>
                <c:pt idx="3">
                  <c:v>6852.7036974343328</c:v>
                </c:pt>
              </c:numCache>
            </c:numRef>
          </c:yVal>
          <c:smooth val="0"/>
          <c:extLst>
            <c:ext xmlns:c16="http://schemas.microsoft.com/office/drawing/2014/chart" uri="{C3380CC4-5D6E-409C-BE32-E72D297353CC}">
              <c16:uniqueId val="{00000003-227F-4030-8D49-D790AE5DC5C1}"/>
            </c:ext>
          </c:extLst>
        </c:ser>
        <c:dLbls>
          <c:showLegendKey val="0"/>
          <c:showVal val="0"/>
          <c:showCatName val="0"/>
          <c:showSerName val="0"/>
          <c:showPercent val="0"/>
          <c:showBubbleSize val="0"/>
        </c:dLbls>
        <c:axId val="545396744"/>
        <c:axId val="545394776"/>
      </c:scatterChart>
      <c:valAx>
        <c:axId val="545396744"/>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4776"/>
        <c:crosses val="autoZero"/>
        <c:crossBetween val="midCat"/>
      </c:valAx>
      <c:valAx>
        <c:axId val="545394776"/>
        <c:scaling>
          <c:logBase val="10"/>
          <c:orientation val="minMax"/>
          <c:max val="10000000"/>
          <c:min val="1000"/>
        </c:scaling>
        <c:delete val="0"/>
        <c:axPos val="l"/>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40D1-479B-836D-4C0E0B4D30C1}"/>
            </c:ext>
          </c:extLst>
        </c:ser>
        <c:ser>
          <c:idx val="2"/>
          <c:order val="1"/>
          <c:tx>
            <c:v>5</c:v>
          </c:tx>
          <c:spPr>
            <a:ln w="19050" cap="rnd">
              <a:solidFill>
                <a:srgbClr val="0000FF"/>
              </a:solidFill>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1-40D1-479B-836D-4C0E0B4D30C1}"/>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Data'!$V$61:$Y$61</c:f>
              <c:numCache>
                <c:formatCode>General</c:formatCode>
                <c:ptCount val="4"/>
                <c:pt idx="0">
                  <c:v>-20</c:v>
                </c:pt>
                <c:pt idx="1">
                  <c:v>-13.760853981298149</c:v>
                </c:pt>
                <c:pt idx="2">
                  <c:v>-12.52299130408421</c:v>
                </c:pt>
                <c:pt idx="3">
                  <c:v>-19.626993942728518</c:v>
                </c:pt>
              </c:numCache>
            </c:numRef>
          </c:yVal>
          <c:smooth val="0"/>
          <c:extLst>
            <c:ext xmlns:c16="http://schemas.microsoft.com/office/drawing/2014/chart" uri="{C3380CC4-5D6E-409C-BE32-E72D297353CC}">
              <c16:uniqueId val="{00000000-563E-47C7-AFD6-2A5E0B6FB75D}"/>
            </c:ext>
          </c:extLst>
        </c:ser>
        <c:ser>
          <c:idx val="2"/>
          <c:order val="1"/>
          <c:tx>
            <c:v>5</c:v>
          </c:tx>
          <c:spPr>
            <a:ln w="25400" cap="rnd">
              <a:solidFill>
                <a:srgbClr val="0000FF"/>
              </a:solidFill>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Data'!$V$63:$Y$63</c:f>
              <c:numCache>
                <c:formatCode>General</c:formatCode>
                <c:ptCount val="4"/>
                <c:pt idx="0">
                  <c:v>-20</c:v>
                </c:pt>
                <c:pt idx="1">
                  <c:v>-18.203679044314004</c:v>
                </c:pt>
                <c:pt idx="2">
                  <c:v>-1.9800047219509875</c:v>
                </c:pt>
                <c:pt idx="3">
                  <c:v>-2.4630805339759703</c:v>
                </c:pt>
              </c:numCache>
            </c:numRef>
          </c:yVal>
          <c:smooth val="0"/>
          <c:extLst>
            <c:ext xmlns:c16="http://schemas.microsoft.com/office/drawing/2014/chart" uri="{C3380CC4-5D6E-409C-BE32-E72D297353CC}">
              <c16:uniqueId val="{00000001-563E-47C7-AFD6-2A5E0B6FB75D}"/>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out"/>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Data'!$L$2,'TASBE Data'!$L$42,'TASBE Data'!$L$82,'TASBE Data'!$L$122)</c:f>
              <c:numCache>
                <c:formatCode>General</c:formatCode>
                <c:ptCount val="4"/>
                <c:pt idx="0">
                  <c:v>0</c:v>
                </c:pt>
                <c:pt idx="1">
                  <c:v>-4.1820798808953583</c:v>
                </c:pt>
                <c:pt idx="2">
                  <c:v>-3.1171995905205314</c:v>
                </c:pt>
                <c:pt idx="3">
                  <c:v>-3.6390445773786642</c:v>
                </c:pt>
              </c:numCache>
            </c:numRef>
          </c:yVal>
          <c:smooth val="0"/>
          <c:extLst>
            <c:ext xmlns:c16="http://schemas.microsoft.com/office/drawing/2014/chart" uri="{C3380CC4-5D6E-409C-BE32-E72D297353CC}">
              <c16:uniqueId val="{00000000-D6D9-446D-8F8C-7522161F3461}"/>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Data'!$L$3,'TASBE Data'!$L$43,'TASBE Data'!$L$83,'TASBE Data'!$L$123)</c:f>
              <c:numCache>
                <c:formatCode>General</c:formatCode>
                <c:ptCount val="4"/>
                <c:pt idx="0">
                  <c:v>0</c:v>
                </c:pt>
                <c:pt idx="1">
                  <c:v>-7.6762342128377643</c:v>
                </c:pt>
                <c:pt idx="2">
                  <c:v>-1.3000502318913925</c:v>
                </c:pt>
                <c:pt idx="3">
                  <c:v>-1.2816068114330004</c:v>
                </c:pt>
              </c:numCache>
            </c:numRef>
          </c:yVal>
          <c:smooth val="0"/>
          <c:extLst>
            <c:ext xmlns:c16="http://schemas.microsoft.com/office/drawing/2014/chart" uri="{C3380CC4-5D6E-409C-BE32-E72D297353CC}">
              <c16:uniqueId val="{00000001-D6D9-446D-8F8C-7522161F3461}"/>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Data'!$L$4,'TASBE Data'!$L$44,'TASBE Data'!$L$84,'TASBE Data'!$L$124)</c:f>
              <c:numCache>
                <c:formatCode>General</c:formatCode>
                <c:ptCount val="4"/>
                <c:pt idx="0">
                  <c:v>0</c:v>
                </c:pt>
                <c:pt idx="1">
                  <c:v>-13.183439062707814</c:v>
                </c:pt>
                <c:pt idx="2">
                  <c:v>-4.5131132335024056</c:v>
                </c:pt>
                <c:pt idx="3">
                  <c:v>-4.4089241921528668</c:v>
                </c:pt>
              </c:numCache>
            </c:numRef>
          </c:yVal>
          <c:smooth val="0"/>
          <c:extLst>
            <c:ext xmlns:c16="http://schemas.microsoft.com/office/drawing/2014/chart" uri="{C3380CC4-5D6E-409C-BE32-E72D297353CC}">
              <c16:uniqueId val="{00000002-D6D9-446D-8F8C-7522161F3461}"/>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Data'!$L$5,'TASBE Data'!$L$45,'TASBE Data'!$L$85,'TASBE Data'!$L$124)</c:f>
              <c:numCache>
                <c:formatCode>General</c:formatCode>
                <c:ptCount val="4"/>
                <c:pt idx="0">
                  <c:v>0</c:v>
                </c:pt>
                <c:pt idx="1">
                  <c:v>-17.156583047084201</c:v>
                </c:pt>
                <c:pt idx="2">
                  <c:v>-5.779797297392788</c:v>
                </c:pt>
                <c:pt idx="3">
                  <c:v>-4.4089241921528668</c:v>
                </c:pt>
              </c:numCache>
            </c:numRef>
          </c:yVal>
          <c:smooth val="0"/>
          <c:extLst>
            <c:ext xmlns:c16="http://schemas.microsoft.com/office/drawing/2014/chart" uri="{C3380CC4-5D6E-409C-BE32-E72D297353CC}">
              <c16:uniqueId val="{00000003-D6D9-446D-8F8C-7522161F3461}"/>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Data'!$L$6,'TASBE Data'!$L$46,'TASBE Data'!$L$86,'TASBE Data'!$L$126)</c:f>
              <c:numCache>
                <c:formatCode>General</c:formatCode>
                <c:ptCount val="4"/>
                <c:pt idx="0">
                  <c:v>0</c:v>
                </c:pt>
                <c:pt idx="1">
                  <c:v>-12.54054978037952</c:v>
                </c:pt>
                <c:pt idx="2">
                  <c:v>-5.1877600784123477</c:v>
                </c:pt>
                <c:pt idx="3">
                  <c:v>-8.1979644943036902</c:v>
                </c:pt>
              </c:numCache>
            </c:numRef>
          </c:yVal>
          <c:smooth val="0"/>
          <c:extLst>
            <c:ext xmlns:c16="http://schemas.microsoft.com/office/drawing/2014/chart" uri="{C3380CC4-5D6E-409C-BE32-E72D297353CC}">
              <c16:uniqueId val="{00000004-D6D9-446D-8F8C-7522161F3461}"/>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Data'!$L$7,'TASBE Data'!$L$47,'TASBE Data'!$L$87,'TASBE Data'!$L$127)</c:f>
              <c:numCache>
                <c:formatCode>General</c:formatCode>
                <c:ptCount val="4"/>
                <c:pt idx="0">
                  <c:v>0</c:v>
                </c:pt>
                <c:pt idx="1">
                  <c:v>-4.04502292575485</c:v>
                </c:pt>
                <c:pt idx="2">
                  <c:v>-6.3797591715878212</c:v>
                </c:pt>
                <c:pt idx="3">
                  <c:v>-7.9835618995655269</c:v>
                </c:pt>
              </c:numCache>
            </c:numRef>
          </c:yVal>
          <c:smooth val="0"/>
          <c:extLst>
            <c:ext xmlns:c16="http://schemas.microsoft.com/office/drawing/2014/chart" uri="{C3380CC4-5D6E-409C-BE32-E72D297353CC}">
              <c16:uniqueId val="{00000000-C611-49FC-B3D0-553920CF47D9}"/>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Data'!$L$7,'TASBE Data'!$L$48,'TASBE Data'!$L$88,'TASBE Data'!$L$128)</c:f>
              <c:numCache>
                <c:formatCode>General</c:formatCode>
                <c:ptCount val="4"/>
                <c:pt idx="0">
                  <c:v>0</c:v>
                </c:pt>
                <c:pt idx="1">
                  <c:v>-3.5902041421697195</c:v>
                </c:pt>
                <c:pt idx="2">
                  <c:v>-0.38799673701080839</c:v>
                </c:pt>
                <c:pt idx="3">
                  <c:v>0.38335793780854122</c:v>
                </c:pt>
              </c:numCache>
            </c:numRef>
          </c:yVal>
          <c:smooth val="0"/>
          <c:extLst>
            <c:ext xmlns:c16="http://schemas.microsoft.com/office/drawing/2014/chart" uri="{C3380CC4-5D6E-409C-BE32-E72D297353CC}">
              <c16:uniqueId val="{00000001-C611-49FC-B3D0-553920CF47D9}"/>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Data'!$L$9,'TASBE Data'!$L$49,'TASBE Data'!$L$89,'TASBE Data'!$L$129)</c:f>
              <c:numCache>
                <c:formatCode>General</c:formatCode>
                <c:ptCount val="4"/>
                <c:pt idx="0">
                  <c:v>0</c:v>
                </c:pt>
                <c:pt idx="1">
                  <c:v>-5.0984853104736487</c:v>
                </c:pt>
                <c:pt idx="2">
                  <c:v>-1.2277231341877031</c:v>
                </c:pt>
                <c:pt idx="3">
                  <c:v>-0.14979592962484478</c:v>
                </c:pt>
              </c:numCache>
            </c:numRef>
          </c:yVal>
          <c:smooth val="0"/>
          <c:extLst>
            <c:ext xmlns:c16="http://schemas.microsoft.com/office/drawing/2014/chart" uri="{C3380CC4-5D6E-409C-BE32-E72D297353CC}">
              <c16:uniqueId val="{00000002-C611-49FC-B3D0-553920CF47D9}"/>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Data'!$Z$110:$AC$110</c:f>
              <c:numCache>
                <c:formatCode>General</c:formatCode>
                <c:ptCount val="4"/>
                <c:pt idx="0">
                  <c:v>0</c:v>
                </c:pt>
                <c:pt idx="1">
                  <c:v>-9.1281558275254699</c:v>
                </c:pt>
                <c:pt idx="2">
                  <c:v>-1.297696537149132</c:v>
                </c:pt>
                <c:pt idx="3">
                  <c:v>-1.2530276058160386</c:v>
                </c:pt>
              </c:numCache>
            </c:numRef>
          </c:yVal>
          <c:smooth val="0"/>
          <c:extLst>
            <c:ext xmlns:c16="http://schemas.microsoft.com/office/drawing/2014/chart" uri="{C3380CC4-5D6E-409C-BE32-E72D297353CC}">
              <c16:uniqueId val="{00000003-C611-49FC-B3D0-553920CF47D9}"/>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Data'!$Z$111:$AC$111</c:f>
              <c:numCache>
                <c:formatCode>General</c:formatCode>
                <c:ptCount val="4"/>
                <c:pt idx="0">
                  <c:v>0</c:v>
                </c:pt>
                <c:pt idx="1">
                  <c:v>-10.01804328792586</c:v>
                </c:pt>
                <c:pt idx="2">
                  <c:v>-2.8105854498063354</c:v>
                </c:pt>
                <c:pt idx="3">
                  <c:v>-3.3933764911903559</c:v>
                </c:pt>
              </c:numCache>
            </c:numRef>
          </c:yVal>
          <c:smooth val="0"/>
          <c:extLst>
            <c:ext xmlns:c16="http://schemas.microsoft.com/office/drawing/2014/chart" uri="{C3380CC4-5D6E-409C-BE32-E72D297353CC}">
              <c16:uniqueId val="{00000004-C611-49FC-B3D0-553920CF47D9}"/>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Data'!$Z$112:$AC$112</c:f>
              <c:numCache>
                <c:formatCode>General</c:formatCode>
                <c:ptCount val="4"/>
                <c:pt idx="0">
                  <c:v>0</c:v>
                </c:pt>
                <c:pt idx="1">
                  <c:v>-0.17335026772957463</c:v>
                </c:pt>
                <c:pt idx="2">
                  <c:v>-6.9303115559509383</c:v>
                </c:pt>
                <c:pt idx="3">
                  <c:v>-10.450109827537883</c:v>
                </c:pt>
              </c:numCache>
            </c:numRef>
          </c:yVal>
          <c:smooth val="0"/>
          <c:extLst>
            <c:ext xmlns:c16="http://schemas.microsoft.com/office/drawing/2014/chart" uri="{C3380CC4-5D6E-409C-BE32-E72D297353CC}">
              <c16:uniqueId val="{00000000-63F0-490A-9F40-14DCE6EFC9B6}"/>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Data'!$Z$113:$AC$113</c:f>
              <c:numCache>
                <c:formatCode>General</c:formatCode>
                <c:ptCount val="4"/>
                <c:pt idx="0">
                  <c:v>0</c:v>
                </c:pt>
                <c:pt idx="1">
                  <c:v>-2.691312645321819</c:v>
                </c:pt>
                <c:pt idx="2">
                  <c:v>-8.2899439502285954E-2</c:v>
                </c:pt>
                <c:pt idx="3">
                  <c:v>-6.914175953758317E-2</c:v>
                </c:pt>
              </c:numCache>
            </c:numRef>
          </c:yVal>
          <c:smooth val="0"/>
          <c:extLst>
            <c:ext xmlns:c16="http://schemas.microsoft.com/office/drawing/2014/chart" uri="{C3380CC4-5D6E-409C-BE32-E72D297353CC}">
              <c16:uniqueId val="{00000001-63F0-490A-9F40-14DCE6EFC9B6}"/>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Data'!$Z$114:$AC$114</c:f>
              <c:numCache>
                <c:formatCode>General</c:formatCode>
                <c:ptCount val="4"/>
                <c:pt idx="0">
                  <c:v>0</c:v>
                </c:pt>
                <c:pt idx="1">
                  <c:v>-6.2205925845361101</c:v>
                </c:pt>
                <c:pt idx="2">
                  <c:v>0.19703930867925212</c:v>
                </c:pt>
                <c:pt idx="3">
                  <c:v>1.090993613133592</c:v>
                </c:pt>
              </c:numCache>
            </c:numRef>
          </c:yVal>
          <c:smooth val="0"/>
          <c:extLst>
            <c:ext xmlns:c16="http://schemas.microsoft.com/office/drawing/2014/chart" uri="{C3380CC4-5D6E-409C-BE32-E72D297353CC}">
              <c16:uniqueId val="{00000002-63F0-490A-9F40-14DCE6EFC9B6}"/>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Data'!$Z$115:$AC$115</c:f>
              <c:numCache>
                <c:formatCode>General</c:formatCode>
                <c:ptCount val="4"/>
                <c:pt idx="0">
                  <c:v>0</c:v>
                </c:pt>
                <c:pt idx="1">
                  <c:v>-7.2118702179758518</c:v>
                </c:pt>
                <c:pt idx="2">
                  <c:v>-0.49916212319213971</c:v>
                </c:pt>
                <c:pt idx="3">
                  <c:v>-8.13412421048616E-2</c:v>
                </c:pt>
              </c:numCache>
            </c:numRef>
          </c:yVal>
          <c:smooth val="0"/>
          <c:extLst>
            <c:ext xmlns:c16="http://schemas.microsoft.com/office/drawing/2014/chart" uri="{C3380CC4-5D6E-409C-BE32-E72D297353CC}">
              <c16:uniqueId val="{00000003-63F0-490A-9F40-14DCE6EFC9B6}"/>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Data'!$Z$116:$AC$116</c:f>
              <c:numCache>
                <c:formatCode>General</c:formatCode>
                <c:ptCount val="4"/>
                <c:pt idx="0">
                  <c:v>0</c:v>
                </c:pt>
                <c:pt idx="1">
                  <c:v>-8.981634838013683</c:v>
                </c:pt>
                <c:pt idx="2">
                  <c:v>-1.311762577581097</c:v>
                </c:pt>
                <c:pt idx="3">
                  <c:v>-1.4144648238189581</c:v>
                </c:pt>
              </c:numCache>
            </c:numRef>
          </c:yVal>
          <c:smooth val="0"/>
          <c:extLst>
            <c:ext xmlns:c16="http://schemas.microsoft.com/office/drawing/2014/chart" uri="{C3380CC4-5D6E-409C-BE32-E72D297353CC}">
              <c16:uniqueId val="{00000004-63F0-490A-9F40-14DCE6EFC9B6}"/>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Data'!$Z$117:$AC$117</c:f>
              <c:numCache>
                <c:formatCode>General</c:formatCode>
                <c:ptCount val="4"/>
                <c:pt idx="0">
                  <c:v>0</c:v>
                </c:pt>
                <c:pt idx="1">
                  <c:v>-3.9880321197277215</c:v>
                </c:pt>
                <c:pt idx="2">
                  <c:v>-9.1867291564288163</c:v>
                </c:pt>
                <c:pt idx="3">
                  <c:v>-14.790906668047965</c:v>
                </c:pt>
              </c:numCache>
            </c:numRef>
          </c:yVal>
          <c:smooth val="0"/>
          <c:extLst>
            <c:ext xmlns:c16="http://schemas.microsoft.com/office/drawing/2014/chart" uri="{C3380CC4-5D6E-409C-BE32-E72D297353CC}">
              <c16:uniqueId val="{00000000-BE4C-4832-8C92-A2FE94555992}"/>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Data'!$Z$118:$AC$118</c:f>
              <c:numCache>
                <c:formatCode>General</c:formatCode>
                <c:ptCount val="4"/>
                <c:pt idx="0">
                  <c:v>0</c:v>
                </c:pt>
                <c:pt idx="1">
                  <c:v>-2.9318903509909404</c:v>
                </c:pt>
                <c:pt idx="2">
                  <c:v>0.11484244321113435</c:v>
                </c:pt>
                <c:pt idx="3">
                  <c:v>0.12362792352531482</c:v>
                </c:pt>
              </c:numCache>
            </c:numRef>
          </c:yVal>
          <c:smooth val="0"/>
          <c:extLst>
            <c:ext xmlns:c16="http://schemas.microsoft.com/office/drawing/2014/chart" uri="{C3380CC4-5D6E-409C-BE32-E72D297353CC}">
              <c16:uniqueId val="{00000001-BE4C-4832-8C92-A2FE94555992}"/>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Data'!$Z$119:$AC$119</c:f>
              <c:numCache>
                <c:formatCode>General</c:formatCode>
                <c:ptCount val="4"/>
                <c:pt idx="0">
                  <c:v>0</c:v>
                </c:pt>
                <c:pt idx="1">
                  <c:v>-5.3415423094423389</c:v>
                </c:pt>
                <c:pt idx="2">
                  <c:v>2.7836675512750375E-2</c:v>
                </c:pt>
                <c:pt idx="3">
                  <c:v>0.91530801243069382</c:v>
                </c:pt>
              </c:numCache>
            </c:numRef>
          </c:yVal>
          <c:smooth val="0"/>
          <c:extLst>
            <c:ext xmlns:c16="http://schemas.microsoft.com/office/drawing/2014/chart" uri="{C3380CC4-5D6E-409C-BE32-E72D297353CC}">
              <c16:uniqueId val="{00000002-BE4C-4832-8C92-A2FE94555992}"/>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Data'!$Z$120:$AC$120</c:f>
              <c:numCache>
                <c:formatCode>General</c:formatCode>
                <c:ptCount val="4"/>
                <c:pt idx="0">
                  <c:v>0</c:v>
                </c:pt>
                <c:pt idx="1">
                  <c:v>-5.2743451770887759</c:v>
                </c:pt>
                <c:pt idx="2">
                  <c:v>0.13573038139385751</c:v>
                </c:pt>
                <c:pt idx="3">
                  <c:v>0.13836635399270669</c:v>
                </c:pt>
              </c:numCache>
            </c:numRef>
          </c:yVal>
          <c:smooth val="0"/>
          <c:extLst>
            <c:ext xmlns:c16="http://schemas.microsoft.com/office/drawing/2014/chart" uri="{C3380CC4-5D6E-409C-BE32-E72D297353CC}">
              <c16:uniqueId val="{00000003-BE4C-4832-8C92-A2FE94555992}"/>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Data'!$Z$121:$AC$121</c:f>
              <c:numCache>
                <c:formatCode>General</c:formatCode>
                <c:ptCount val="4"/>
                <c:pt idx="0">
                  <c:v>0</c:v>
                </c:pt>
                <c:pt idx="1">
                  <c:v>-7.1010300238336512</c:v>
                </c:pt>
                <c:pt idx="2">
                  <c:v>-0.39095582094843673</c:v>
                </c:pt>
                <c:pt idx="3">
                  <c:v>-0.81860219784629518</c:v>
                </c:pt>
              </c:numCache>
            </c:numRef>
          </c:yVal>
          <c:smooth val="0"/>
          <c:extLst>
            <c:ext xmlns:c16="http://schemas.microsoft.com/office/drawing/2014/chart" uri="{C3380CC4-5D6E-409C-BE32-E72D297353CC}">
              <c16:uniqueId val="{00000004-BE4C-4832-8C92-A2FE94555992}"/>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191</xdr:row>
          <xdr:rowOff>12700</xdr:rowOff>
        </xdr:from>
        <xdr:to>
          <xdr:col>1</xdr:col>
          <xdr:colOff>12700</xdr:colOff>
          <xdr:row>192</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3</xdr:row>
          <xdr:rowOff>12700</xdr:rowOff>
        </xdr:from>
        <xdr:to>
          <xdr:col>13</xdr:col>
          <xdr:colOff>1155700</xdr:colOff>
          <xdr:row>3</xdr:row>
          <xdr:rowOff>469900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1168400</xdr:colOff>
          <xdr:row>3</xdr:row>
          <xdr:rowOff>12700</xdr:rowOff>
        </xdr:from>
        <xdr:to>
          <xdr:col>15</xdr:col>
          <xdr:colOff>0</xdr:colOff>
          <xdr:row>3</xdr:row>
          <xdr:rowOff>469900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3</xdr:row>
          <xdr:rowOff>12700</xdr:rowOff>
        </xdr:from>
        <xdr:to>
          <xdr:col>7</xdr:col>
          <xdr:colOff>1841500</xdr:colOff>
          <xdr:row>3</xdr:row>
          <xdr:rowOff>469900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12700</xdr:colOff>
          <xdr:row>191</xdr:row>
          <xdr:rowOff>25400</xdr:rowOff>
        </xdr:from>
        <xdr:to>
          <xdr:col>20</xdr:col>
          <xdr:colOff>0</xdr:colOff>
          <xdr:row>192</xdr:row>
          <xdr:rowOff>203200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31</xdr:row>
          <xdr:rowOff>12700</xdr:rowOff>
        </xdr:from>
        <xdr:to>
          <xdr:col>0</xdr:col>
          <xdr:colOff>1663700</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31</xdr:row>
          <xdr:rowOff>25400</xdr:rowOff>
        </xdr:from>
        <xdr:to>
          <xdr:col>6</xdr:col>
          <xdr:colOff>0</xdr:colOff>
          <xdr:row>32</xdr:row>
          <xdr:rowOff>203200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10</xdr:row>
          <xdr:rowOff>12700</xdr:rowOff>
        </xdr:from>
        <xdr:to>
          <xdr:col>0</xdr:col>
          <xdr:colOff>1016000</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10</xdr:row>
          <xdr:rowOff>12700</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10</xdr:row>
          <xdr:rowOff>12700</xdr:rowOff>
        </xdr:from>
        <xdr:to>
          <xdr:col>9</xdr:col>
          <xdr:colOff>1244600</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9</xdr:row>
          <xdr:rowOff>12700</xdr:rowOff>
        </xdr:from>
        <xdr:to>
          <xdr:col>1</xdr:col>
          <xdr:colOff>0</xdr:colOff>
          <xdr:row>10</xdr:row>
          <xdr:rowOff>203200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9</xdr:row>
          <xdr:rowOff>12700</xdr:rowOff>
        </xdr:from>
        <xdr:to>
          <xdr:col>1</xdr:col>
          <xdr:colOff>0</xdr:colOff>
          <xdr:row>10</xdr:row>
          <xdr:rowOff>393700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9</xdr:row>
          <xdr:rowOff>12700</xdr:rowOff>
        </xdr:from>
        <xdr:to>
          <xdr:col>9</xdr:col>
          <xdr:colOff>1244600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44</xdr:col>
      <xdr:colOff>19050</xdr:colOff>
      <xdr:row>1</xdr:row>
      <xdr:rowOff>166008</xdr:rowOff>
    </xdr:from>
    <xdr:to>
      <xdr:col>50</xdr:col>
      <xdr:colOff>541565</xdr:colOff>
      <xdr:row>15</xdr:row>
      <xdr:rowOff>166008</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19050</xdr:colOff>
      <xdr:row>16</xdr:row>
      <xdr:rowOff>171450</xdr:rowOff>
    </xdr:from>
    <xdr:to>
      <xdr:col>50</xdr:col>
      <xdr:colOff>541565</xdr:colOff>
      <xdr:row>30</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44</xdr:col>
      <xdr:colOff>19050</xdr:colOff>
      <xdr:row>31</xdr:row>
      <xdr:rowOff>171450</xdr:rowOff>
    </xdr:from>
    <xdr:to>
      <xdr:col>50</xdr:col>
      <xdr:colOff>541565</xdr:colOff>
      <xdr:row>45</xdr:row>
      <xdr:rowOff>171450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19050</xdr:colOff>
      <xdr:row>46</xdr:row>
      <xdr:rowOff>171450</xdr:rowOff>
    </xdr:from>
    <xdr:to>
      <xdr:col>50</xdr:col>
      <xdr:colOff>541565</xdr:colOff>
      <xdr:row>60</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19050</xdr:colOff>
      <xdr:row>1</xdr:row>
      <xdr:rowOff>182335</xdr:rowOff>
    </xdr:from>
    <xdr:to>
      <xdr:col>59</xdr:col>
      <xdr:colOff>182335</xdr:colOff>
      <xdr:row>15</xdr:row>
      <xdr:rowOff>182335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19049</xdr:colOff>
      <xdr:row>16</xdr:row>
      <xdr:rowOff>171450</xdr:rowOff>
    </xdr:from>
    <xdr:to>
      <xdr:col>59</xdr:col>
      <xdr:colOff>182334</xdr:colOff>
      <xdr:row>30</xdr:row>
      <xdr:rowOff>171450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19049</xdr:colOff>
      <xdr:row>31</xdr:row>
      <xdr:rowOff>171450</xdr:rowOff>
    </xdr:from>
    <xdr:to>
      <xdr:col>59</xdr:col>
      <xdr:colOff>182334</xdr:colOff>
      <xdr:row>45</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51</xdr:col>
      <xdr:colOff>19049</xdr:colOff>
      <xdr:row>46</xdr:row>
      <xdr:rowOff>171450</xdr:rowOff>
    </xdr:from>
    <xdr:to>
      <xdr:col>59</xdr:col>
      <xdr:colOff>182334</xdr:colOff>
      <xdr:row>60</xdr:row>
      <xdr:rowOff>171450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12492</xdr:colOff>
      <xdr:row>66</xdr:row>
      <xdr:rowOff>196121</xdr:rowOff>
    </xdr:from>
    <xdr:to>
      <xdr:col>32</xdr:col>
      <xdr:colOff>149901</xdr:colOff>
      <xdr:row>81</xdr:row>
      <xdr:rowOff>53715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49967</xdr:colOff>
      <xdr:row>66</xdr:row>
      <xdr:rowOff>187377</xdr:rowOff>
    </xdr:from>
    <xdr:to>
      <xdr:col>39</xdr:col>
      <xdr:colOff>499672</xdr:colOff>
      <xdr:row>81</xdr:row>
      <xdr:rowOff>44971</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649574</xdr:colOff>
      <xdr:row>83</xdr:row>
      <xdr:rowOff>0</xdr:rowOff>
    </xdr:from>
    <xdr:to>
      <xdr:col>32</xdr:col>
      <xdr:colOff>112426</xdr:colOff>
      <xdr:row>97</xdr:row>
      <xdr:rowOff>94937</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49967</xdr:colOff>
      <xdr:row>83</xdr:row>
      <xdr:rowOff>0</xdr:rowOff>
    </xdr:from>
    <xdr:to>
      <xdr:col>39</xdr:col>
      <xdr:colOff>499672</xdr:colOff>
      <xdr:row>97</xdr:row>
      <xdr:rowOff>94937</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41</xdr:col>
      <xdr:colOff>499673</xdr:colOff>
      <xdr:row>86</xdr:row>
      <xdr:rowOff>99935</xdr:rowOff>
    </xdr:from>
    <xdr:to>
      <xdr:col>47</xdr:col>
      <xdr:colOff>637082</xdr:colOff>
      <xdr:row>101</xdr:row>
      <xdr:rowOff>57463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48</xdr:col>
      <xdr:colOff>637082</xdr:colOff>
      <xdr:row>86</xdr:row>
      <xdr:rowOff>74951</xdr:rowOff>
    </xdr:from>
    <xdr:to>
      <xdr:col>57</xdr:col>
      <xdr:colOff>125810</xdr:colOff>
      <xdr:row>100</xdr:row>
      <xdr:rowOff>137409</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60</xdr:col>
      <xdr:colOff>0</xdr:colOff>
      <xdr:row>2</xdr:row>
      <xdr:rowOff>0</xdr:rowOff>
    </xdr:from>
    <xdr:to>
      <xdr:col>66</xdr:col>
      <xdr:colOff>522515</xdr:colOff>
      <xdr:row>16</xdr:row>
      <xdr:rowOff>12492</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60</xdr:col>
      <xdr:colOff>12492</xdr:colOff>
      <xdr:row>17</xdr:row>
      <xdr:rowOff>5441</xdr:rowOff>
    </xdr:from>
    <xdr:to>
      <xdr:col>66</xdr:col>
      <xdr:colOff>535007</xdr:colOff>
      <xdr:row>31</xdr:row>
      <xdr:rowOff>17933</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67</xdr:col>
      <xdr:colOff>0</xdr:colOff>
      <xdr:row>2</xdr:row>
      <xdr:rowOff>16327</xdr:rowOff>
    </xdr:from>
    <xdr:to>
      <xdr:col>75</xdr:col>
      <xdr:colOff>163285</xdr:colOff>
      <xdr:row>16</xdr:row>
      <xdr:rowOff>28819</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67</xdr:col>
      <xdr:colOff>4871</xdr:colOff>
      <xdr:row>17</xdr:row>
      <xdr:rowOff>5441</xdr:rowOff>
    </xdr:from>
    <xdr:to>
      <xdr:col>75</xdr:col>
      <xdr:colOff>175776</xdr:colOff>
      <xdr:row>31</xdr:row>
      <xdr:rowOff>17933</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15240</xdr:colOff>
      <xdr:row>91</xdr:row>
      <xdr:rowOff>182880</xdr:rowOff>
    </xdr:from>
    <xdr:to>
      <xdr:col>22</xdr:col>
      <xdr:colOff>148045</xdr:colOff>
      <xdr:row>105</xdr:row>
      <xdr:rowOff>182880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0</xdr:colOff>
      <xdr:row>107</xdr:row>
      <xdr:rowOff>0</xdr:rowOff>
    </xdr:from>
    <xdr:to>
      <xdr:col>22</xdr:col>
      <xdr:colOff>132805</xdr:colOff>
      <xdr:row>121</xdr:row>
      <xdr:rowOff>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0</xdr:colOff>
      <xdr:row>122</xdr:row>
      <xdr:rowOff>0</xdr:rowOff>
    </xdr:from>
    <xdr:to>
      <xdr:col>22</xdr:col>
      <xdr:colOff>132805</xdr:colOff>
      <xdr:row>136</xdr:row>
      <xdr:rowOff>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0</xdr:colOff>
      <xdr:row>137</xdr:row>
      <xdr:rowOff>0</xdr:rowOff>
    </xdr:from>
    <xdr:to>
      <xdr:col>22</xdr:col>
      <xdr:colOff>132805</xdr:colOff>
      <xdr:row>151</xdr:row>
      <xdr:rowOff>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100130</xdr:colOff>
      <xdr:row>27</xdr:row>
      <xdr:rowOff>10370</xdr:rowOff>
    </xdr:from>
    <xdr:to>
      <xdr:col>5</xdr:col>
      <xdr:colOff>547806</xdr:colOff>
      <xdr:row>36</xdr:row>
      <xdr:rowOff>62047</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30" y="5359610"/>
          <a:ext cx="3800476" cy="1834757"/>
        </a:xfrm>
        <a:prstGeom prst="rect">
          <a:avLst/>
        </a:prstGeom>
      </xdr:spPr>
    </xdr:pic>
    <xdr:clientData/>
  </xdr:twoCellAnchor>
  <xdr:twoCellAnchor editAs="oneCell">
    <xdr:from>
      <xdr:col>0</xdr:col>
      <xdr:colOff>111221</xdr:colOff>
      <xdr:row>11</xdr:row>
      <xdr:rowOff>155318</xdr:rowOff>
    </xdr:from>
    <xdr:to>
      <xdr:col>5</xdr:col>
      <xdr:colOff>561166</xdr:colOff>
      <xdr:row>20</xdr:row>
      <xdr:rowOff>67688</xdr:rowOff>
    </xdr:to>
    <xdr:pic>
      <xdr:nvPicPr>
        <xdr:cNvPr id="3" name="图片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1221" y="2334638"/>
          <a:ext cx="3802745" cy="1695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ynbiohub.org/user/chenmzh/JHT6demochenmzh/pBW586/1" TargetMode="External"/><Relationship Id="rId3" Type="http://schemas.openxmlformats.org/officeDocument/2006/relationships/hyperlink" Target="https://synbiohub.org/user/chenmzh/JHT6demochenmzh/pBW363/1" TargetMode="External"/><Relationship Id="rId7" Type="http://schemas.openxmlformats.org/officeDocument/2006/relationships/hyperlink" Target="https://synbiohub.org/user/chenmzh/JHT6demochenmzh/pLC41/1" TargetMode="External"/><Relationship Id="rId2" Type="http://schemas.openxmlformats.org/officeDocument/2006/relationships/hyperlink" Target="https://synbiohub.org/user/chenmzh/JHT6demochenmzh/pBW363/1" TargetMode="External"/><Relationship Id="rId1" Type="http://schemas.openxmlformats.org/officeDocument/2006/relationships/hyperlink" Target="https://synbiohub.org/user/chenmzh/JHT6demochenmzh/pBW363/1" TargetMode="External"/><Relationship Id="rId6" Type="http://schemas.openxmlformats.org/officeDocument/2006/relationships/hyperlink" Target="https://synbiohub.org/user/chenmzh/JHT6demochenmzh/pBW2139/1" TargetMode="External"/><Relationship Id="rId5" Type="http://schemas.openxmlformats.org/officeDocument/2006/relationships/hyperlink" Target="https://synbiohub.org/user/chenmzh/JHT6demochenmzh/pBW465/1" TargetMode="External"/><Relationship Id="rId4" Type="http://schemas.openxmlformats.org/officeDocument/2006/relationships/hyperlink" Target="https://synbiohub.org/user/chenmzh/JHT6demochenmzh/pBW339/1"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synbiohub.org/user/chenmzh/JHT6demochenmzh/pBW363/1" TargetMode="External"/><Relationship Id="rId2" Type="http://schemas.openxmlformats.org/officeDocument/2006/relationships/hyperlink" Target="https://synbiohub.org/user/chenmzh/JHT6demochenmzh/pBW462/1" TargetMode="External"/><Relationship Id="rId1" Type="http://schemas.openxmlformats.org/officeDocument/2006/relationships/hyperlink" Target="https://synbiohub.org/user/chenmzh/JHT6demochenmzh/pBW361/1" TargetMode="External"/><Relationship Id="rId5" Type="http://schemas.openxmlformats.org/officeDocument/2006/relationships/printerSettings" Target="../printerSettings/printerSettings4.bin"/><Relationship Id="rId4" Type="http://schemas.openxmlformats.org/officeDocument/2006/relationships/hyperlink" Target="https://synbiohub.org/user/chenmzh/JHT6demochenmzh/pBW465/1"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tetsystems.com/support/a-practical-guide/" TargetMode="External"/><Relationship Id="rId1" Type="http://schemas.openxmlformats.org/officeDocument/2006/relationships/hyperlink" Target="https://www.addgene.org/tetracyclin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autoPageBreaks="0"/>
  </sheetPr>
  <dimension ref="A1:T59"/>
  <sheetViews>
    <sheetView zoomScale="50" zoomScaleNormal="50" workbookViewId="0">
      <selection activeCell="M44" sqref="M44"/>
    </sheetView>
  </sheetViews>
  <sheetFormatPr baseColWidth="10" defaultColWidth="10.83203125" defaultRowHeight="16"/>
  <cols>
    <col min="1" max="1" width="29.5" style="55" customWidth="1"/>
    <col min="2" max="2" width="14.1640625" style="54" bestFit="1" customWidth="1"/>
    <col min="3" max="3" width="6.1640625" style="54" bestFit="1" customWidth="1"/>
    <col min="4" max="4" width="16.33203125" style="54" bestFit="1" customWidth="1"/>
    <col min="5" max="5" width="11.83203125" style="54" bestFit="1" customWidth="1"/>
    <col min="6" max="6" width="18.5" style="56" customWidth="1"/>
    <col min="7" max="7" width="16.33203125" style="54" bestFit="1" customWidth="1"/>
    <col min="8" max="8" width="24.1640625" style="54" bestFit="1" customWidth="1"/>
    <col min="9" max="9" width="20" style="54" customWidth="1"/>
    <col min="10" max="10" width="16.33203125" style="54" bestFit="1" customWidth="1"/>
    <col min="11" max="11" width="11.5" style="54" bestFit="1" customWidth="1"/>
    <col min="12" max="12" width="21.1640625" style="54" customWidth="1"/>
    <col min="13" max="13" width="16.33203125" style="54" bestFit="1" customWidth="1"/>
    <col min="14" max="14" width="11.5" style="54" bestFit="1" customWidth="1"/>
    <col min="15" max="15" width="10.83203125" style="54"/>
    <col min="16" max="16" width="16.33203125" style="54" bestFit="1" customWidth="1"/>
    <col min="17" max="17" width="11.5" style="54" bestFit="1" customWidth="1"/>
    <col min="18" max="19" width="10.83203125" style="54"/>
    <col min="20" max="20" width="11.5" style="54" bestFit="1" customWidth="1"/>
    <col min="21" max="16384" width="10.83203125" style="54"/>
  </cols>
  <sheetData>
    <row r="1" spans="1:20" ht="20" thickBot="1">
      <c r="A1" s="339" t="s">
        <v>470</v>
      </c>
      <c r="B1" s="340"/>
      <c r="C1" s="340"/>
      <c r="D1" s="340"/>
      <c r="E1" s="340"/>
      <c r="F1" s="340"/>
      <c r="G1" s="340"/>
      <c r="H1" s="340"/>
      <c r="I1" s="340"/>
      <c r="J1" s="340"/>
      <c r="K1" s="341"/>
      <c r="L1" s="174"/>
      <c r="M1" s="174"/>
      <c r="N1" s="174"/>
      <c r="O1" s="174"/>
      <c r="P1" s="174"/>
      <c r="Q1" s="174"/>
      <c r="R1" s="174"/>
      <c r="S1" s="174"/>
      <c r="T1" s="174"/>
    </row>
    <row r="2" spans="1:20" ht="17" thickBot="1">
      <c r="A2" s="175"/>
      <c r="B2" s="176"/>
      <c r="C2" s="174"/>
      <c r="D2" s="174"/>
      <c r="E2" s="174"/>
      <c r="F2" s="177"/>
      <c r="G2" s="174"/>
      <c r="H2" s="174"/>
      <c r="I2" s="174"/>
      <c r="J2" s="174"/>
      <c r="K2" s="174"/>
      <c r="L2" s="174"/>
      <c r="M2" s="174"/>
      <c r="N2" s="174"/>
      <c r="O2" s="174"/>
      <c r="P2" s="174"/>
      <c r="Q2" s="174"/>
      <c r="R2" s="174"/>
      <c r="S2" s="174"/>
      <c r="T2" s="174"/>
    </row>
    <row r="3" spans="1:20">
      <c r="A3" s="353" t="s">
        <v>237</v>
      </c>
      <c r="B3" s="354"/>
      <c r="C3" s="174"/>
      <c r="D3" s="174"/>
      <c r="E3" s="174"/>
      <c r="F3" s="177"/>
      <c r="G3" s="174"/>
      <c r="H3" s="174"/>
      <c r="I3" s="174"/>
      <c r="J3" s="174"/>
      <c r="K3" s="174"/>
      <c r="L3" s="174"/>
      <c r="M3" s="174"/>
      <c r="N3" s="174"/>
      <c r="O3" s="174"/>
      <c r="P3" s="174"/>
      <c r="Q3" s="174"/>
      <c r="R3" s="174"/>
      <c r="S3" s="174"/>
      <c r="T3" s="174"/>
    </row>
    <row r="4" spans="1:20" ht="19">
      <c r="A4" s="366" t="s">
        <v>69</v>
      </c>
      <c r="B4" s="367"/>
      <c r="C4" s="174"/>
      <c r="D4" s="174"/>
      <c r="E4" s="174"/>
      <c r="F4" s="177"/>
      <c r="G4" s="174"/>
      <c r="H4" s="174"/>
      <c r="I4" s="174"/>
      <c r="J4" s="174"/>
      <c r="K4" s="174"/>
      <c r="L4" s="174"/>
      <c r="M4" s="174"/>
      <c r="N4" s="174"/>
      <c r="O4" s="174"/>
      <c r="P4" s="174"/>
      <c r="Q4" s="174"/>
      <c r="R4" s="174"/>
      <c r="S4" s="174"/>
      <c r="T4" s="174"/>
    </row>
    <row r="5" spans="1:20" ht="17" thickBot="1">
      <c r="A5" s="368" t="s">
        <v>423</v>
      </c>
      <c r="B5" s="369"/>
      <c r="C5" s="174"/>
      <c r="D5" s="174"/>
      <c r="E5" s="174"/>
      <c r="F5" s="177"/>
      <c r="G5" s="174"/>
      <c r="H5" s="174"/>
      <c r="I5" s="174"/>
      <c r="J5" s="174"/>
      <c r="K5" s="174"/>
      <c r="L5" s="174"/>
      <c r="M5" s="174"/>
      <c r="N5" s="174"/>
      <c r="O5" s="174"/>
      <c r="P5" s="174"/>
      <c r="Q5" s="174"/>
      <c r="R5" s="174"/>
      <c r="S5" s="174"/>
      <c r="T5" s="174"/>
    </row>
    <row r="6" spans="1:20" ht="17" thickBot="1">
      <c r="A6" s="175"/>
      <c r="B6" s="176"/>
      <c r="C6" s="174"/>
      <c r="D6" s="174"/>
      <c r="E6" s="174"/>
      <c r="F6" s="177"/>
      <c r="G6" s="174"/>
      <c r="H6" s="174"/>
      <c r="I6" s="174"/>
      <c r="J6" s="174"/>
      <c r="K6" s="174"/>
      <c r="L6" s="174"/>
      <c r="M6" s="174"/>
      <c r="N6" s="174"/>
      <c r="O6" s="174"/>
      <c r="P6" s="174"/>
      <c r="Q6" s="174"/>
      <c r="R6" s="174"/>
      <c r="S6" s="174"/>
      <c r="T6" s="174"/>
    </row>
    <row r="7" spans="1:20">
      <c r="A7" s="353" t="s">
        <v>200</v>
      </c>
      <c r="B7" s="355"/>
      <c r="C7" s="355"/>
      <c r="D7" s="355"/>
      <c r="E7" s="355"/>
      <c r="F7" s="355"/>
      <c r="G7" s="355"/>
      <c r="H7" s="355"/>
      <c r="I7" s="355"/>
      <c r="J7" s="355"/>
      <c r="K7" s="354"/>
      <c r="L7" s="174"/>
      <c r="M7" s="174"/>
      <c r="N7" s="174"/>
      <c r="O7" s="174"/>
      <c r="P7" s="174"/>
      <c r="Q7" s="174"/>
      <c r="R7" s="174"/>
      <c r="S7" s="174"/>
      <c r="T7" s="174"/>
    </row>
    <row r="8" spans="1:20" ht="19">
      <c r="A8" s="342" t="s">
        <v>152</v>
      </c>
      <c r="B8" s="343"/>
      <c r="C8" s="343"/>
      <c r="D8" s="343"/>
      <c r="E8" s="343"/>
      <c r="F8" s="343"/>
      <c r="G8" s="343"/>
      <c r="H8" s="343"/>
      <c r="I8" s="343"/>
      <c r="J8" s="343"/>
      <c r="K8" s="344"/>
      <c r="L8" s="174"/>
      <c r="M8" s="174"/>
      <c r="N8" s="174"/>
      <c r="O8" s="174"/>
      <c r="P8" s="174"/>
      <c r="Q8" s="174"/>
      <c r="R8" s="174"/>
      <c r="S8" s="174"/>
      <c r="T8" s="174"/>
    </row>
    <row r="9" spans="1:20" ht="30.75" customHeight="1">
      <c r="A9" s="345" t="s">
        <v>471</v>
      </c>
      <c r="B9" s="346"/>
      <c r="C9" s="346"/>
      <c r="D9" s="346"/>
      <c r="E9" s="346"/>
      <c r="F9" s="346"/>
      <c r="G9" s="346"/>
      <c r="H9" s="346"/>
      <c r="I9" s="346"/>
      <c r="J9" s="346"/>
      <c r="K9" s="347"/>
      <c r="L9" s="174"/>
      <c r="M9" s="174"/>
      <c r="N9" s="174"/>
      <c r="O9" s="174"/>
      <c r="P9" s="174"/>
      <c r="Q9" s="174"/>
      <c r="R9" s="174"/>
      <c r="S9" s="174"/>
      <c r="T9" s="174"/>
    </row>
    <row r="10" spans="1:20" ht="17" thickBot="1">
      <c r="A10" s="178"/>
      <c r="B10" s="179"/>
      <c r="C10" s="179"/>
      <c r="D10" s="179"/>
      <c r="E10" s="179"/>
      <c r="F10" s="180"/>
      <c r="G10" s="174"/>
      <c r="H10" s="174"/>
      <c r="I10" s="174"/>
      <c r="J10" s="174"/>
      <c r="K10" s="174"/>
      <c r="L10" s="174"/>
      <c r="M10" s="174"/>
      <c r="N10" s="174"/>
      <c r="O10" s="174"/>
      <c r="P10" s="174"/>
      <c r="Q10" s="174"/>
      <c r="R10" s="174"/>
      <c r="S10" s="174"/>
      <c r="T10" s="174"/>
    </row>
    <row r="11" spans="1:20" ht="31.25" customHeight="1">
      <c r="A11" s="356" t="s">
        <v>201</v>
      </c>
      <c r="B11" s="357"/>
      <c r="C11" s="357"/>
      <c r="D11" s="358"/>
      <c r="E11" s="179"/>
      <c r="F11" s="180"/>
      <c r="G11" s="174"/>
      <c r="H11" s="174"/>
      <c r="I11" s="174"/>
      <c r="J11" s="174"/>
      <c r="K11" s="174"/>
      <c r="L11" s="174"/>
      <c r="M11" s="174"/>
      <c r="N11" s="174"/>
      <c r="O11" s="174"/>
      <c r="P11" s="174"/>
      <c r="Q11" s="174"/>
      <c r="R11" s="174"/>
      <c r="S11" s="174"/>
      <c r="T11" s="174"/>
    </row>
    <row r="12" spans="1:20" ht="18" customHeight="1">
      <c r="A12" s="360" t="s">
        <v>153</v>
      </c>
      <c r="B12" s="361"/>
      <c r="C12" s="362" t="s">
        <v>154</v>
      </c>
      <c r="D12" s="363"/>
      <c r="E12" s="179"/>
      <c r="F12" s="180"/>
      <c r="G12" s="174"/>
      <c r="H12" s="174"/>
      <c r="I12" s="174"/>
      <c r="J12" s="174"/>
      <c r="K12" s="174"/>
      <c r="L12" s="174"/>
      <c r="M12" s="174"/>
      <c r="N12" s="174"/>
      <c r="O12" s="174"/>
      <c r="P12" s="174"/>
      <c r="Q12" s="174"/>
      <c r="R12" s="174"/>
      <c r="S12" s="174"/>
      <c r="T12" s="174"/>
    </row>
    <row r="13" spans="1:20" ht="41.5" customHeight="1">
      <c r="A13" s="364" t="s">
        <v>472</v>
      </c>
      <c r="B13" s="365"/>
      <c r="C13" s="364" t="s">
        <v>473</v>
      </c>
      <c r="D13" s="365"/>
      <c r="E13" s="179"/>
      <c r="F13" s="180"/>
      <c r="G13" s="174"/>
      <c r="H13" s="174"/>
      <c r="I13" s="174"/>
      <c r="J13" s="174"/>
      <c r="K13" s="174"/>
      <c r="L13" s="174"/>
      <c r="M13" s="174"/>
      <c r="N13" s="174"/>
      <c r="O13" s="174"/>
      <c r="P13" s="174"/>
      <c r="Q13" s="174"/>
      <c r="R13" s="174"/>
      <c r="S13" s="174"/>
      <c r="T13" s="174"/>
    </row>
    <row r="14" spans="1:20">
      <c r="A14" s="175"/>
      <c r="B14" s="174"/>
      <c r="C14" s="174"/>
      <c r="D14" s="174"/>
      <c r="E14" s="174"/>
      <c r="F14" s="177"/>
      <c r="G14" s="174"/>
      <c r="H14" s="174"/>
      <c r="I14" s="174"/>
      <c r="J14" s="174"/>
      <c r="K14" s="174"/>
      <c r="L14" s="174"/>
      <c r="M14" s="174"/>
      <c r="N14" s="174"/>
      <c r="O14" s="174"/>
      <c r="P14" s="174"/>
      <c r="Q14" s="174"/>
      <c r="R14" s="174"/>
      <c r="S14" s="174"/>
      <c r="T14" s="174"/>
    </row>
    <row r="15" spans="1:20" ht="15.5" customHeight="1">
      <c r="A15" s="359" t="s">
        <v>474</v>
      </c>
      <c r="B15" s="359"/>
      <c r="C15" s="349" t="s">
        <v>475</v>
      </c>
      <c r="D15" s="348" t="s">
        <v>476</v>
      </c>
      <c r="E15" s="348"/>
      <c r="F15" s="349" t="s">
        <v>475</v>
      </c>
      <c r="G15" s="348" t="s">
        <v>477</v>
      </c>
      <c r="H15" s="348"/>
      <c r="I15" s="349" t="s">
        <v>475</v>
      </c>
      <c r="J15" s="348" t="s">
        <v>478</v>
      </c>
      <c r="K15" s="348"/>
      <c r="L15" s="349" t="s">
        <v>475</v>
      </c>
      <c r="M15" s="348" t="s">
        <v>479</v>
      </c>
      <c r="N15" s="348"/>
      <c r="O15" s="349" t="s">
        <v>475</v>
      </c>
      <c r="P15" s="348" t="s">
        <v>480</v>
      </c>
      <c r="Q15" s="348"/>
      <c r="R15" s="349" t="s">
        <v>475</v>
      </c>
      <c r="S15" s="348" t="s">
        <v>481</v>
      </c>
      <c r="T15" s="348"/>
    </row>
    <row r="16" spans="1:20" ht="15.75" customHeight="1">
      <c r="A16" s="181" t="s">
        <v>482</v>
      </c>
      <c r="B16" s="182">
        <v>43310</v>
      </c>
      <c r="C16" s="350"/>
      <c r="D16" s="181" t="s">
        <v>482</v>
      </c>
      <c r="E16" s="182">
        <v>43312</v>
      </c>
      <c r="F16" s="350"/>
      <c r="G16" s="181" t="s">
        <v>482</v>
      </c>
      <c r="H16" s="182">
        <v>43312</v>
      </c>
      <c r="I16" s="350"/>
      <c r="J16" s="181" t="s">
        <v>482</v>
      </c>
      <c r="K16" s="182">
        <v>43312</v>
      </c>
      <c r="L16" s="350"/>
      <c r="M16" s="181" t="s">
        <v>482</v>
      </c>
      <c r="N16" s="182">
        <v>43312</v>
      </c>
      <c r="O16" s="350"/>
      <c r="P16" s="181" t="s">
        <v>482</v>
      </c>
      <c r="Q16" s="182">
        <v>43314</v>
      </c>
      <c r="R16" s="350"/>
      <c r="S16" s="181" t="s">
        <v>482</v>
      </c>
      <c r="T16" s="182">
        <v>43316</v>
      </c>
    </row>
    <row r="17" spans="1:20" ht="15.5" customHeight="1">
      <c r="A17" s="183" t="s">
        <v>483</v>
      </c>
      <c r="B17" s="184">
        <v>0.54166666666666663</v>
      </c>
      <c r="C17" s="350"/>
      <c r="D17" s="183" t="s">
        <v>483</v>
      </c>
      <c r="E17" s="184">
        <v>0.3125</v>
      </c>
      <c r="F17" s="350"/>
      <c r="G17" s="183" t="s">
        <v>483</v>
      </c>
      <c r="H17" s="184">
        <v>0.3125</v>
      </c>
      <c r="I17" s="350"/>
      <c r="J17" s="183" t="s">
        <v>483</v>
      </c>
      <c r="K17" s="185">
        <v>0.5625</v>
      </c>
      <c r="L17" s="350"/>
      <c r="M17" s="183" t="s">
        <v>483</v>
      </c>
      <c r="N17" s="185">
        <v>0.8125</v>
      </c>
      <c r="O17" s="350"/>
      <c r="P17" s="183" t="s">
        <v>483</v>
      </c>
      <c r="Q17" s="185">
        <v>0.3125</v>
      </c>
      <c r="R17" s="350"/>
      <c r="S17" s="183" t="s">
        <v>483</v>
      </c>
      <c r="T17" s="185">
        <v>0.3125</v>
      </c>
    </row>
    <row r="18" spans="1:20" ht="15.75" customHeight="1">
      <c r="A18" s="186" t="s">
        <v>484</v>
      </c>
      <c r="B18" s="187" t="s">
        <v>485</v>
      </c>
      <c r="C18" s="351"/>
      <c r="D18" s="186" t="s">
        <v>486</v>
      </c>
      <c r="E18" s="187" t="s">
        <v>487</v>
      </c>
      <c r="F18" s="351"/>
      <c r="G18" s="186" t="s">
        <v>486</v>
      </c>
      <c r="H18" s="187" t="s">
        <v>487</v>
      </c>
      <c r="I18" s="352"/>
      <c r="J18" s="183" t="s">
        <v>486</v>
      </c>
      <c r="K18" s="187" t="s">
        <v>488</v>
      </c>
      <c r="L18" s="352"/>
      <c r="M18" s="183" t="s">
        <v>486</v>
      </c>
      <c r="N18" s="187" t="s">
        <v>488</v>
      </c>
      <c r="O18" s="352"/>
      <c r="P18" s="183" t="s">
        <v>486</v>
      </c>
      <c r="Q18" s="187" t="s">
        <v>488</v>
      </c>
      <c r="R18" s="352"/>
      <c r="S18" s="183" t="s">
        <v>486</v>
      </c>
      <c r="T18" s="187" t="s">
        <v>488</v>
      </c>
    </row>
    <row r="19" spans="1:20">
      <c r="A19" s="188"/>
      <c r="B19" s="189"/>
      <c r="C19" s="188"/>
      <c r="D19" s="189"/>
      <c r="E19" s="190"/>
      <c r="F19" s="190"/>
      <c r="G19" s="190"/>
      <c r="H19" s="190"/>
      <c r="I19" s="190"/>
      <c r="J19" s="186" t="s">
        <v>489</v>
      </c>
      <c r="K19" s="187" t="s">
        <v>490</v>
      </c>
      <c r="L19" s="190"/>
      <c r="M19" s="186" t="s">
        <v>489</v>
      </c>
      <c r="N19" s="187" t="s">
        <v>490</v>
      </c>
      <c r="O19" s="190"/>
      <c r="P19" s="186" t="s">
        <v>489</v>
      </c>
      <c r="Q19" s="187" t="s">
        <v>490</v>
      </c>
      <c r="R19" s="190"/>
      <c r="S19" s="186" t="s">
        <v>489</v>
      </c>
      <c r="T19" s="187" t="s">
        <v>490</v>
      </c>
    </row>
    <row r="20" spans="1:20" ht="17" thickBot="1">
      <c r="A20" s="175"/>
      <c r="B20" s="174"/>
      <c r="C20" s="174"/>
      <c r="D20" s="174"/>
      <c r="E20" s="174"/>
      <c r="F20" s="177"/>
      <c r="G20" s="174"/>
      <c r="H20" s="174"/>
      <c r="I20" s="174"/>
      <c r="J20" s="174"/>
      <c r="K20" s="174"/>
      <c r="L20" s="174"/>
      <c r="M20" s="174"/>
      <c r="N20" s="174"/>
      <c r="O20" s="174"/>
      <c r="P20" s="174"/>
      <c r="Q20" s="174"/>
      <c r="R20" s="174"/>
      <c r="S20" s="174"/>
      <c r="T20" s="174"/>
    </row>
    <row r="21" spans="1:20" ht="17" thickBot="1">
      <c r="A21" s="370" t="s">
        <v>202</v>
      </c>
      <c r="B21" s="371"/>
      <c r="C21" s="174"/>
      <c r="D21" s="174"/>
      <c r="E21" s="356" t="s">
        <v>236</v>
      </c>
      <c r="F21" s="357"/>
      <c r="G21" s="357"/>
      <c r="H21" s="357"/>
      <c r="I21" s="358"/>
      <c r="J21" s="174"/>
      <c r="K21" s="174"/>
      <c r="L21" s="191"/>
      <c r="M21" s="174"/>
      <c r="N21" s="174"/>
      <c r="O21" s="174"/>
      <c r="P21" s="174"/>
      <c r="Q21" s="174"/>
      <c r="R21" s="174"/>
      <c r="S21" s="174"/>
      <c r="T21" s="174"/>
    </row>
    <row r="22" spans="1:20" ht="19">
      <c r="A22" s="334" t="s">
        <v>168</v>
      </c>
      <c r="B22" s="336"/>
      <c r="C22" s="174"/>
      <c r="D22" s="192"/>
      <c r="E22" s="372" t="s">
        <v>161</v>
      </c>
      <c r="F22" s="373"/>
      <c r="G22" s="373"/>
      <c r="H22" s="373"/>
      <c r="I22" s="374"/>
      <c r="J22" s="174"/>
      <c r="K22" s="174"/>
      <c r="L22" s="193"/>
      <c r="M22" s="174"/>
      <c r="N22" s="174"/>
      <c r="O22" s="174"/>
      <c r="P22" s="174"/>
      <c r="Q22" s="174"/>
      <c r="R22" s="174"/>
      <c r="S22" s="174"/>
      <c r="T22" s="174"/>
    </row>
    <row r="23" spans="1:20" ht="17">
      <c r="A23" s="194" t="s">
        <v>169</v>
      </c>
      <c r="B23" s="195" t="s">
        <v>422</v>
      </c>
      <c r="C23" s="196"/>
      <c r="D23" s="174"/>
      <c r="E23" s="378" t="s">
        <v>491</v>
      </c>
      <c r="F23" s="379"/>
      <c r="G23" s="197" t="s">
        <v>149</v>
      </c>
      <c r="H23" s="197" t="s">
        <v>150</v>
      </c>
      <c r="I23" s="198" t="s">
        <v>492</v>
      </c>
      <c r="J23" s="199"/>
      <c r="K23" s="174"/>
      <c r="L23" s="375"/>
      <c r="M23" s="174"/>
      <c r="N23" s="174"/>
      <c r="O23" s="174"/>
      <c r="P23" s="174"/>
      <c r="Q23" s="174"/>
      <c r="R23" s="174"/>
      <c r="S23" s="174"/>
      <c r="T23" s="174"/>
    </row>
    <row r="24" spans="1:20" ht="33" customHeight="1">
      <c r="A24" s="200" t="s">
        <v>197</v>
      </c>
      <c r="B24" s="198" t="s">
        <v>170</v>
      </c>
      <c r="C24" s="196"/>
      <c r="D24" s="174"/>
      <c r="E24" s="201">
        <v>1</v>
      </c>
      <c r="F24" s="202" t="s">
        <v>467</v>
      </c>
      <c r="G24" s="203" t="s">
        <v>4</v>
      </c>
      <c r="H24" s="203" t="s">
        <v>151</v>
      </c>
      <c r="I24" s="376" t="s">
        <v>1064</v>
      </c>
      <c r="J24" s="199"/>
      <c r="K24" s="174"/>
      <c r="L24" s="375"/>
      <c r="M24" s="174"/>
      <c r="N24" s="174"/>
      <c r="O24" s="174"/>
      <c r="P24" s="174"/>
      <c r="Q24" s="174"/>
      <c r="R24" s="174"/>
      <c r="S24" s="174"/>
      <c r="T24" s="174"/>
    </row>
    <row r="25" spans="1:20" ht="21.75" customHeight="1">
      <c r="A25" s="204" t="s">
        <v>213</v>
      </c>
      <c r="B25" s="205" t="s">
        <v>493</v>
      </c>
      <c r="C25" s="196"/>
      <c r="D25" s="174"/>
      <c r="E25" s="201">
        <v>2</v>
      </c>
      <c r="F25" s="202" t="s">
        <v>494</v>
      </c>
      <c r="G25" s="203"/>
      <c r="H25" s="206" t="s">
        <v>495</v>
      </c>
      <c r="I25" s="376"/>
      <c r="J25" s="199"/>
      <c r="K25" s="174"/>
      <c r="L25" s="375"/>
      <c r="M25" s="174"/>
      <c r="N25" s="174"/>
      <c r="O25" s="174"/>
      <c r="P25" s="174"/>
      <c r="Q25" s="174"/>
      <c r="R25" s="174"/>
      <c r="S25" s="174"/>
      <c r="T25" s="174"/>
    </row>
    <row r="26" spans="1:20" ht="17">
      <c r="A26" s="204" t="s">
        <v>214</v>
      </c>
      <c r="B26" s="205" t="s">
        <v>496</v>
      </c>
      <c r="C26" s="196"/>
      <c r="D26" s="174"/>
      <c r="E26" s="207">
        <v>3</v>
      </c>
      <c r="F26" s="208" t="s">
        <v>468</v>
      </c>
      <c r="G26" s="209" t="s">
        <v>4</v>
      </c>
      <c r="H26" s="210" t="s">
        <v>497</v>
      </c>
      <c r="I26" s="331"/>
      <c r="J26" s="199"/>
      <c r="K26" s="174"/>
      <c r="L26" s="375"/>
      <c r="M26" s="174"/>
      <c r="N26" s="174"/>
      <c r="O26" s="174"/>
      <c r="P26" s="174"/>
      <c r="Q26" s="174"/>
      <c r="R26" s="174"/>
      <c r="S26" s="174"/>
      <c r="T26" s="174"/>
    </row>
    <row r="27" spans="1:20" ht="34.5" customHeight="1" thickBot="1">
      <c r="A27" s="204"/>
      <c r="B27" s="205"/>
      <c r="C27" s="211"/>
      <c r="D27" s="174"/>
      <c r="E27" s="212">
        <v>4</v>
      </c>
      <c r="F27" s="213" t="s">
        <v>469</v>
      </c>
      <c r="G27" s="214" t="s">
        <v>4</v>
      </c>
      <c r="H27" s="215" t="s">
        <v>498</v>
      </c>
      <c r="I27" s="377"/>
      <c r="J27" s="199"/>
      <c r="K27" s="174"/>
      <c r="L27" s="375"/>
      <c r="M27" s="174"/>
      <c r="N27" s="174"/>
      <c r="O27" s="174"/>
      <c r="P27" s="174"/>
      <c r="Q27" s="174"/>
      <c r="R27" s="174"/>
      <c r="S27" s="174"/>
      <c r="T27" s="174"/>
    </row>
    <row r="28" spans="1:20">
      <c r="A28" s="204"/>
      <c r="B28" s="205"/>
      <c r="C28" s="211"/>
      <c r="D28" s="174"/>
      <c r="E28" s="216"/>
      <c r="F28" s="217"/>
      <c r="G28" s="216"/>
      <c r="H28" s="218"/>
      <c r="I28" s="218"/>
      <c r="J28" s="199"/>
      <c r="K28" s="174"/>
      <c r="L28" s="218"/>
      <c r="M28" s="174"/>
      <c r="N28" s="174"/>
      <c r="O28" s="174"/>
      <c r="P28" s="174"/>
      <c r="Q28" s="174"/>
      <c r="R28" s="174"/>
      <c r="S28" s="174"/>
      <c r="T28" s="174"/>
    </row>
    <row r="29" spans="1:20">
      <c r="A29" s="204"/>
      <c r="B29" s="205"/>
      <c r="C29" s="211"/>
      <c r="D29" s="174"/>
      <c r="E29" s="216"/>
      <c r="F29" s="217"/>
      <c r="G29" s="216"/>
      <c r="H29" s="218"/>
      <c r="I29" s="218"/>
      <c r="J29" s="199"/>
      <c r="K29" s="174"/>
      <c r="L29" s="218"/>
      <c r="M29" s="174"/>
      <c r="N29" s="174"/>
      <c r="O29" s="174"/>
      <c r="P29" s="174"/>
      <c r="Q29" s="174"/>
      <c r="R29" s="174"/>
      <c r="S29" s="174"/>
      <c r="T29" s="174"/>
    </row>
    <row r="30" spans="1:20">
      <c r="A30" s="204"/>
      <c r="B30" s="205"/>
      <c r="C30" s="211"/>
      <c r="D30" s="174"/>
      <c r="E30" s="216"/>
      <c r="F30" s="217"/>
      <c r="G30" s="216"/>
      <c r="H30" s="218"/>
      <c r="I30" s="218"/>
      <c r="J30" s="199"/>
      <c r="K30" s="174"/>
      <c r="L30" s="218"/>
      <c r="M30" s="174"/>
      <c r="N30" s="174"/>
      <c r="O30" s="174"/>
      <c r="P30" s="174"/>
      <c r="Q30" s="174"/>
      <c r="R30" s="174"/>
      <c r="S30" s="174"/>
      <c r="T30" s="174"/>
    </row>
    <row r="31" spans="1:20">
      <c r="A31" s="204"/>
      <c r="B31" s="205"/>
      <c r="C31" s="219"/>
      <c r="D31" s="174"/>
      <c r="E31" s="174"/>
      <c r="F31" s="177"/>
      <c r="G31" s="174"/>
      <c r="H31" s="174"/>
      <c r="I31" s="199"/>
      <c r="J31" s="199"/>
      <c r="K31" s="174"/>
      <c r="L31" s="174"/>
      <c r="M31" s="174"/>
      <c r="N31" s="174"/>
      <c r="O31" s="174"/>
      <c r="P31" s="174"/>
      <c r="Q31" s="174"/>
      <c r="R31" s="174"/>
      <c r="S31" s="174"/>
      <c r="T31" s="174"/>
    </row>
    <row r="32" spans="1:20" ht="17" thickBot="1">
      <c r="A32" s="220"/>
      <c r="B32" s="221"/>
      <c r="C32" s="196"/>
      <c r="D32" s="174"/>
      <c r="E32" s="174"/>
      <c r="F32" s="177"/>
      <c r="G32" s="174"/>
      <c r="H32" s="174"/>
      <c r="I32" s="174"/>
      <c r="J32" s="199"/>
      <c r="K32" s="174"/>
      <c r="L32" s="174"/>
      <c r="M32" s="174"/>
      <c r="N32" s="174"/>
      <c r="O32" s="174"/>
      <c r="P32" s="174"/>
      <c r="Q32" s="174"/>
      <c r="R32" s="174"/>
      <c r="S32" s="174"/>
      <c r="T32" s="174"/>
    </row>
    <row r="33" spans="1:20" ht="20" thickBot="1">
      <c r="A33" s="222"/>
      <c r="B33" s="223"/>
      <c r="C33" s="211"/>
      <c r="D33" s="174"/>
      <c r="E33" s="334" t="s">
        <v>162</v>
      </c>
      <c r="F33" s="335"/>
      <c r="G33" s="335"/>
      <c r="H33" s="335"/>
      <c r="I33" s="336"/>
      <c r="J33" s="174"/>
      <c r="K33" s="174"/>
      <c r="L33" s="174"/>
      <c r="M33" s="174"/>
      <c r="N33" s="174"/>
      <c r="O33" s="174"/>
      <c r="P33" s="174"/>
      <c r="Q33" s="174"/>
      <c r="R33" s="174"/>
      <c r="S33" s="174"/>
      <c r="T33" s="174"/>
    </row>
    <row r="34" spans="1:20" ht="19">
      <c r="A34" s="334" t="s">
        <v>172</v>
      </c>
      <c r="B34" s="336"/>
      <c r="C34" s="219"/>
      <c r="D34" s="174"/>
      <c r="E34" s="337" t="s">
        <v>167</v>
      </c>
      <c r="F34" s="338"/>
      <c r="G34" s="197" t="s">
        <v>149</v>
      </c>
      <c r="H34" s="197" t="s">
        <v>150</v>
      </c>
      <c r="I34" s="198" t="s">
        <v>499</v>
      </c>
      <c r="J34" s="174"/>
      <c r="K34" s="174"/>
      <c r="L34" s="174"/>
      <c r="M34" s="174"/>
      <c r="N34" s="174"/>
      <c r="O34" s="174"/>
      <c r="P34" s="174"/>
      <c r="Q34" s="174"/>
      <c r="R34" s="174"/>
      <c r="S34" s="174"/>
      <c r="T34" s="174"/>
    </row>
    <row r="35" spans="1:20">
      <c r="A35" s="194" t="s">
        <v>169</v>
      </c>
      <c r="B35" s="195" t="s">
        <v>421</v>
      </c>
      <c r="C35" s="219"/>
      <c r="D35" s="174"/>
      <c r="E35" s="201"/>
      <c r="F35" s="202"/>
      <c r="G35" s="203"/>
      <c r="H35" s="203"/>
      <c r="I35" s="331"/>
      <c r="J35" s="174"/>
      <c r="K35" s="174"/>
      <c r="L35" s="174"/>
      <c r="M35" s="174"/>
      <c r="N35" s="174"/>
      <c r="O35" s="174"/>
      <c r="P35" s="174"/>
      <c r="Q35" s="174"/>
      <c r="R35" s="174"/>
      <c r="S35" s="174"/>
      <c r="T35" s="174"/>
    </row>
    <row r="36" spans="1:20">
      <c r="A36" s="200" t="s">
        <v>197</v>
      </c>
      <c r="B36" s="198" t="s">
        <v>170</v>
      </c>
      <c r="C36" s="196"/>
      <c r="D36" s="174"/>
      <c r="E36" s="201"/>
      <c r="F36" s="202"/>
      <c r="G36" s="203"/>
      <c r="H36" s="206"/>
      <c r="I36" s="332"/>
      <c r="J36" s="174"/>
      <c r="K36" s="174"/>
      <c r="L36" s="174"/>
      <c r="M36" s="174"/>
      <c r="N36" s="174"/>
      <c r="O36" s="174"/>
      <c r="P36" s="174"/>
      <c r="Q36" s="174"/>
      <c r="R36" s="174"/>
      <c r="S36" s="174"/>
      <c r="T36" s="174"/>
    </row>
    <row r="37" spans="1:20" ht="17" thickBot="1">
      <c r="A37" s="224">
        <v>0</v>
      </c>
      <c r="B37" s="205" t="s">
        <v>500</v>
      </c>
      <c r="C37" s="211"/>
      <c r="D37" s="174"/>
      <c r="E37" s="212"/>
      <c r="F37" s="213"/>
      <c r="G37" s="214"/>
      <c r="H37" s="214"/>
      <c r="I37" s="333"/>
      <c r="J37" s="174"/>
      <c r="K37" s="174"/>
      <c r="L37" s="174"/>
      <c r="M37" s="174"/>
      <c r="N37" s="174"/>
      <c r="O37" s="174"/>
      <c r="P37" s="174"/>
      <c r="Q37" s="174"/>
      <c r="R37" s="174"/>
      <c r="S37" s="174"/>
      <c r="T37" s="174"/>
    </row>
    <row r="38" spans="1:20">
      <c r="A38" s="224">
        <v>1</v>
      </c>
      <c r="B38" s="205" t="s">
        <v>500</v>
      </c>
      <c r="C38" s="219"/>
      <c r="D38" s="174"/>
      <c r="E38" s="216"/>
      <c r="F38" s="217"/>
      <c r="G38" s="216"/>
      <c r="H38" s="216"/>
      <c r="I38" s="199"/>
      <c r="J38" s="174"/>
      <c r="K38" s="174"/>
      <c r="L38" s="174"/>
      <c r="M38" s="174"/>
      <c r="N38" s="174"/>
      <c r="O38" s="174"/>
      <c r="P38" s="174"/>
      <c r="Q38" s="174"/>
      <c r="R38" s="174"/>
      <c r="S38" s="174"/>
      <c r="T38" s="174"/>
    </row>
    <row r="39" spans="1:20">
      <c r="A39" s="224">
        <v>5</v>
      </c>
      <c r="B39" s="205" t="s">
        <v>500</v>
      </c>
      <c r="C39" s="219"/>
      <c r="D39" s="174"/>
      <c r="E39" s="174"/>
      <c r="F39" s="177"/>
      <c r="G39" s="174"/>
      <c r="H39" s="174"/>
      <c r="I39" s="199"/>
      <c r="J39" s="174"/>
      <c r="K39" s="174"/>
      <c r="L39" s="174"/>
      <c r="M39" s="174"/>
      <c r="N39" s="174"/>
      <c r="O39" s="174"/>
      <c r="P39" s="174"/>
      <c r="Q39" s="174"/>
      <c r="R39" s="174"/>
      <c r="S39" s="174"/>
      <c r="T39" s="174"/>
    </row>
    <row r="40" spans="1:20">
      <c r="A40" s="225">
        <v>10</v>
      </c>
      <c r="B40" s="205" t="s">
        <v>500</v>
      </c>
      <c r="C40" s="219"/>
      <c r="D40" s="174"/>
      <c r="E40" s="174"/>
      <c r="F40" s="177"/>
      <c r="G40" s="174"/>
      <c r="H40" s="174"/>
      <c r="I40" s="199"/>
      <c r="J40" s="174"/>
      <c r="K40" s="174"/>
      <c r="L40" s="174"/>
      <c r="M40" s="174"/>
      <c r="N40" s="174"/>
      <c r="O40" s="174"/>
      <c r="P40" s="174"/>
      <c r="Q40" s="174"/>
      <c r="R40" s="174"/>
      <c r="S40" s="174"/>
      <c r="T40" s="174"/>
    </row>
    <row r="41" spans="1:20" ht="17" thickBot="1">
      <c r="A41" s="225">
        <v>20</v>
      </c>
      <c r="B41" s="205" t="s">
        <v>500</v>
      </c>
      <c r="C41" s="219"/>
      <c r="D41" s="174"/>
      <c r="E41" s="174"/>
      <c r="F41" s="177"/>
      <c r="G41" s="174"/>
      <c r="H41" s="174"/>
      <c r="I41" s="199"/>
      <c r="J41" s="174"/>
      <c r="K41" s="174"/>
      <c r="L41" s="174"/>
      <c r="M41" s="174"/>
      <c r="N41" s="174"/>
      <c r="O41" s="174"/>
      <c r="P41" s="174"/>
      <c r="Q41" s="174"/>
      <c r="R41" s="174"/>
      <c r="S41" s="174"/>
      <c r="T41" s="174"/>
    </row>
    <row r="42" spans="1:20" ht="20" thickBot="1">
      <c r="A42" s="226"/>
      <c r="B42" s="221"/>
      <c r="C42" s="196"/>
      <c r="D42" s="174"/>
      <c r="E42" s="334" t="s">
        <v>163</v>
      </c>
      <c r="F42" s="335"/>
      <c r="G42" s="335"/>
      <c r="H42" s="335"/>
      <c r="I42" s="336"/>
      <c r="J42" s="174"/>
      <c r="K42" s="174"/>
      <c r="L42" s="174"/>
      <c r="M42" s="174"/>
      <c r="N42" s="174"/>
      <c r="O42" s="174"/>
      <c r="P42" s="174"/>
      <c r="Q42" s="174"/>
      <c r="R42" s="174"/>
      <c r="S42" s="174"/>
      <c r="T42" s="174"/>
    </row>
    <row r="43" spans="1:20" ht="18" thickBot="1">
      <c r="A43" s="222"/>
      <c r="B43" s="211"/>
      <c r="C43" s="211"/>
      <c r="D43" s="174"/>
      <c r="E43" s="337"/>
      <c r="F43" s="338"/>
      <c r="G43" s="197" t="s">
        <v>149</v>
      </c>
      <c r="H43" s="197" t="s">
        <v>150</v>
      </c>
      <c r="I43" s="198" t="s">
        <v>501</v>
      </c>
      <c r="J43" s="174"/>
      <c r="K43" s="174"/>
      <c r="L43" s="174"/>
      <c r="M43" s="174"/>
      <c r="N43" s="174"/>
      <c r="O43" s="174"/>
      <c r="P43" s="174"/>
      <c r="Q43" s="174"/>
      <c r="R43" s="174"/>
      <c r="S43" s="174"/>
      <c r="T43" s="174"/>
    </row>
    <row r="44" spans="1:20" ht="19">
      <c r="A44" s="334" t="s">
        <v>173</v>
      </c>
      <c r="B44" s="336"/>
      <c r="C44" s="219"/>
      <c r="D44" s="174"/>
      <c r="E44" s="201">
        <v>1</v>
      </c>
      <c r="F44" s="202"/>
      <c r="G44" s="203"/>
      <c r="H44" s="206"/>
      <c r="I44" s="376"/>
      <c r="J44" s="174"/>
      <c r="K44" s="174"/>
      <c r="L44" s="174"/>
      <c r="M44" s="174"/>
      <c r="N44" s="174"/>
      <c r="O44" s="174"/>
      <c r="P44" s="174"/>
      <c r="Q44" s="174"/>
      <c r="R44" s="174"/>
      <c r="S44" s="174"/>
      <c r="T44" s="174"/>
    </row>
    <row r="45" spans="1:20">
      <c r="A45" s="194" t="s">
        <v>169</v>
      </c>
      <c r="B45" s="195" t="s">
        <v>420</v>
      </c>
      <c r="C45" s="196"/>
      <c r="D45" s="174"/>
      <c r="E45" s="201">
        <v>2</v>
      </c>
      <c r="F45" s="202"/>
      <c r="G45" s="203"/>
      <c r="H45" s="203"/>
      <c r="I45" s="376"/>
      <c r="J45" s="174"/>
      <c r="K45" s="174"/>
      <c r="L45" s="174"/>
      <c r="M45" s="174"/>
      <c r="N45" s="174"/>
      <c r="O45" s="174"/>
      <c r="P45" s="174"/>
      <c r="Q45" s="174"/>
      <c r="R45" s="174"/>
      <c r="S45" s="174"/>
      <c r="T45" s="174"/>
    </row>
    <row r="46" spans="1:20">
      <c r="A46" s="200" t="s">
        <v>171</v>
      </c>
      <c r="B46" s="198" t="s">
        <v>170</v>
      </c>
      <c r="C46" s="174"/>
      <c r="D46" s="174"/>
      <c r="E46" s="201">
        <v>3</v>
      </c>
      <c r="F46" s="202"/>
      <c r="G46" s="203"/>
      <c r="H46" s="206"/>
      <c r="I46" s="376"/>
      <c r="J46" s="174"/>
      <c r="K46" s="174"/>
      <c r="L46" s="174"/>
      <c r="M46" s="174"/>
      <c r="N46" s="174"/>
      <c r="O46" s="174"/>
      <c r="P46" s="174"/>
      <c r="Q46" s="174"/>
      <c r="R46" s="174"/>
      <c r="S46" s="174"/>
      <c r="T46" s="174"/>
    </row>
    <row r="47" spans="1:20">
      <c r="A47" s="227">
        <v>5</v>
      </c>
      <c r="B47" s="205" t="s">
        <v>500</v>
      </c>
      <c r="C47" s="174"/>
      <c r="D47" s="174"/>
      <c r="E47" s="201">
        <v>4</v>
      </c>
      <c r="F47" s="202"/>
      <c r="G47" s="203"/>
      <c r="H47" s="203"/>
      <c r="I47" s="376"/>
      <c r="J47" s="174"/>
      <c r="K47" s="174"/>
      <c r="L47" s="174"/>
      <c r="M47" s="174"/>
      <c r="N47" s="174"/>
      <c r="O47" s="174"/>
      <c r="P47" s="174"/>
      <c r="Q47" s="174"/>
      <c r="R47" s="174"/>
      <c r="S47" s="174"/>
      <c r="T47" s="174"/>
    </row>
    <row r="48" spans="1:20" ht="16" customHeight="1">
      <c r="A48" s="227">
        <v>15</v>
      </c>
      <c r="B48" s="205" t="s">
        <v>500</v>
      </c>
      <c r="C48" s="174"/>
      <c r="D48" s="174"/>
      <c r="E48" s="201">
        <v>5</v>
      </c>
      <c r="F48" s="202"/>
      <c r="G48" s="203"/>
      <c r="H48" s="203"/>
      <c r="I48" s="376"/>
      <c r="J48" s="174"/>
      <c r="K48" s="174"/>
      <c r="L48" s="174"/>
      <c r="M48" s="174"/>
      <c r="N48" s="174"/>
      <c r="O48" s="174"/>
      <c r="P48" s="174"/>
      <c r="Q48" s="174"/>
      <c r="R48" s="174"/>
      <c r="S48" s="174"/>
      <c r="T48" s="174"/>
    </row>
    <row r="49" spans="1:20" ht="17" thickBot="1">
      <c r="A49" s="227">
        <v>25</v>
      </c>
      <c r="B49" s="205" t="s">
        <v>500</v>
      </c>
      <c r="C49" s="174"/>
      <c r="D49" s="174"/>
      <c r="E49" s="212">
        <v>6</v>
      </c>
      <c r="F49" s="213"/>
      <c r="G49" s="214"/>
      <c r="H49" s="214"/>
      <c r="I49" s="377"/>
      <c r="J49" s="174"/>
      <c r="K49" s="174"/>
      <c r="L49" s="174"/>
      <c r="M49" s="174"/>
      <c r="N49" s="174"/>
      <c r="O49" s="174"/>
      <c r="P49" s="174"/>
      <c r="Q49" s="174"/>
      <c r="R49" s="174"/>
      <c r="S49" s="174"/>
      <c r="T49" s="174"/>
    </row>
    <row r="50" spans="1:20" ht="17" thickBot="1">
      <c r="A50" s="228">
        <v>35</v>
      </c>
      <c r="B50" s="229" t="s">
        <v>500</v>
      </c>
      <c r="C50" s="174"/>
      <c r="D50" s="174"/>
      <c r="E50" s="174"/>
      <c r="F50" s="177"/>
      <c r="G50" s="174"/>
      <c r="H50" s="174"/>
      <c r="I50" s="174"/>
      <c r="J50" s="174"/>
      <c r="K50" s="174"/>
      <c r="L50" s="174"/>
      <c r="M50" s="174"/>
      <c r="N50" s="174"/>
      <c r="O50" s="174"/>
      <c r="P50" s="174"/>
      <c r="Q50" s="174"/>
      <c r="R50" s="174"/>
      <c r="S50" s="174"/>
      <c r="T50" s="174"/>
    </row>
    <row r="51" spans="1:20" ht="17" thickBot="1">
      <c r="A51" s="230"/>
      <c r="B51" s="231"/>
      <c r="C51" s="174"/>
      <c r="D51" s="174"/>
      <c r="E51" s="174"/>
      <c r="F51" s="177"/>
      <c r="G51" s="174"/>
      <c r="H51" s="174"/>
      <c r="I51" s="174"/>
      <c r="J51" s="174"/>
      <c r="K51" s="174"/>
      <c r="L51" s="174"/>
      <c r="M51" s="174"/>
      <c r="N51" s="174"/>
      <c r="O51" s="174"/>
      <c r="P51" s="174"/>
      <c r="Q51" s="174"/>
      <c r="R51" s="174"/>
      <c r="S51" s="174"/>
      <c r="T51" s="174"/>
    </row>
    <row r="52" spans="1:20" ht="19">
      <c r="A52" s="334" t="s">
        <v>502</v>
      </c>
      <c r="B52" s="336"/>
      <c r="C52" s="174"/>
      <c r="D52" s="174"/>
      <c r="E52" s="334" t="s">
        <v>164</v>
      </c>
      <c r="F52" s="335"/>
      <c r="G52" s="335"/>
      <c r="H52" s="335"/>
      <c r="I52" s="336"/>
      <c r="J52" s="174"/>
      <c r="K52" s="174"/>
      <c r="L52" s="174"/>
      <c r="M52" s="174"/>
      <c r="N52" s="174"/>
      <c r="O52" s="174"/>
      <c r="P52" s="174"/>
      <c r="Q52" s="174"/>
      <c r="R52" s="174"/>
      <c r="S52" s="174"/>
      <c r="T52" s="174"/>
    </row>
    <row r="53" spans="1:20" ht="17">
      <c r="A53" s="194" t="s">
        <v>169</v>
      </c>
      <c r="B53" s="195" t="s">
        <v>230</v>
      </c>
      <c r="C53" s="174"/>
      <c r="D53" s="174"/>
      <c r="E53" s="337"/>
      <c r="F53" s="338"/>
      <c r="G53" s="197" t="s">
        <v>149</v>
      </c>
      <c r="H53" s="197" t="s">
        <v>150</v>
      </c>
      <c r="I53" s="198" t="s">
        <v>503</v>
      </c>
      <c r="J53" s="174"/>
      <c r="K53" s="174"/>
      <c r="L53" s="174"/>
      <c r="M53" s="174"/>
      <c r="N53" s="174"/>
      <c r="O53" s="174"/>
      <c r="P53" s="174"/>
      <c r="Q53" s="174"/>
      <c r="R53" s="174"/>
      <c r="S53" s="174"/>
      <c r="T53" s="174"/>
    </row>
    <row r="54" spans="1:20">
      <c r="A54" s="200" t="s">
        <v>171</v>
      </c>
      <c r="B54" s="198" t="s">
        <v>170</v>
      </c>
      <c r="C54" s="174"/>
      <c r="D54" s="174"/>
      <c r="E54" s="201">
        <v>1</v>
      </c>
      <c r="F54" s="202"/>
      <c r="G54" s="203"/>
      <c r="H54" s="206"/>
      <c r="I54" s="376"/>
      <c r="J54" s="174"/>
      <c r="K54" s="174"/>
      <c r="L54" s="174"/>
      <c r="M54" s="174"/>
      <c r="N54" s="174"/>
      <c r="O54" s="174"/>
      <c r="P54" s="174"/>
      <c r="Q54" s="174"/>
      <c r="R54" s="174"/>
      <c r="S54" s="174"/>
      <c r="T54" s="174"/>
    </row>
    <row r="55" spans="1:20">
      <c r="A55" s="224">
        <v>6</v>
      </c>
      <c r="B55" s="205" t="s">
        <v>504</v>
      </c>
      <c r="C55" s="174"/>
      <c r="D55" s="174"/>
      <c r="E55" s="201">
        <v>2</v>
      </c>
      <c r="F55" s="202"/>
      <c r="G55" s="203"/>
      <c r="H55" s="203"/>
      <c r="I55" s="376"/>
      <c r="J55" s="174"/>
      <c r="K55" s="174"/>
      <c r="L55" s="174"/>
      <c r="M55" s="174"/>
      <c r="N55" s="174"/>
      <c r="O55" s="174"/>
      <c r="P55" s="174"/>
      <c r="Q55" s="174"/>
      <c r="R55" s="174"/>
      <c r="S55" s="174"/>
      <c r="T55" s="174"/>
    </row>
    <row r="56" spans="1:20">
      <c r="A56" s="224">
        <v>12</v>
      </c>
      <c r="B56" s="205" t="s">
        <v>504</v>
      </c>
      <c r="C56" s="174"/>
      <c r="D56" s="174"/>
      <c r="E56" s="201">
        <v>3</v>
      </c>
      <c r="F56" s="202"/>
      <c r="G56" s="203"/>
      <c r="H56" s="206"/>
      <c r="I56" s="376"/>
      <c r="J56" s="174"/>
      <c r="K56" s="174"/>
      <c r="L56" s="174"/>
      <c r="M56" s="174"/>
      <c r="N56" s="174"/>
      <c r="O56" s="174"/>
      <c r="P56" s="174"/>
      <c r="Q56" s="174"/>
      <c r="R56" s="174"/>
      <c r="S56" s="174"/>
      <c r="T56" s="174"/>
    </row>
    <row r="57" spans="1:20">
      <c r="A57" s="224">
        <v>48</v>
      </c>
      <c r="B57" s="205" t="s">
        <v>504</v>
      </c>
      <c r="C57" s="174"/>
      <c r="D57" s="174"/>
      <c r="E57" s="201">
        <v>4</v>
      </c>
      <c r="F57" s="202"/>
      <c r="G57" s="203"/>
      <c r="H57" s="203"/>
      <c r="I57" s="376"/>
      <c r="J57" s="174"/>
      <c r="K57" s="174"/>
      <c r="L57" s="174"/>
      <c r="M57" s="174"/>
      <c r="N57" s="174"/>
      <c r="O57" s="174"/>
      <c r="P57" s="174"/>
      <c r="Q57" s="174"/>
      <c r="R57" s="174"/>
      <c r="S57" s="174"/>
      <c r="T57" s="174"/>
    </row>
    <row r="58" spans="1:20" ht="18" thickBot="1">
      <c r="A58" s="226">
        <v>96</v>
      </c>
      <c r="B58" s="221" t="s">
        <v>504</v>
      </c>
      <c r="C58" s="174"/>
      <c r="D58" s="174"/>
      <c r="E58" s="201">
        <v>5</v>
      </c>
      <c r="F58" s="202"/>
      <c r="G58" s="203"/>
      <c r="H58" s="203"/>
      <c r="I58" s="376"/>
      <c r="J58" s="174"/>
      <c r="K58" s="174"/>
      <c r="L58" s="174"/>
      <c r="M58" s="174"/>
      <c r="N58" s="174"/>
      <c r="O58" s="174"/>
      <c r="P58" s="174"/>
      <c r="Q58" s="174"/>
      <c r="R58" s="174"/>
      <c r="S58" s="174"/>
      <c r="T58" s="174"/>
    </row>
    <row r="59" spans="1:20" ht="17" thickBot="1">
      <c r="A59" s="175"/>
      <c r="B59" s="174"/>
      <c r="C59" s="174"/>
      <c r="D59" s="174"/>
      <c r="E59" s="212">
        <v>6</v>
      </c>
      <c r="F59" s="213"/>
      <c r="G59" s="214"/>
      <c r="H59" s="214"/>
      <c r="I59" s="377"/>
      <c r="J59" s="174"/>
      <c r="K59" s="174"/>
      <c r="L59" s="174"/>
      <c r="M59" s="174"/>
      <c r="N59" s="174"/>
      <c r="O59" s="174"/>
      <c r="P59" s="174"/>
      <c r="Q59" s="174"/>
      <c r="R59" s="174"/>
      <c r="S59" s="174"/>
      <c r="T59" s="174"/>
    </row>
  </sheetData>
  <sheetProtection insertColumns="0" insertRows="0" deleteColumns="0" deleteRows="0"/>
  <mergeCells count="44">
    <mergeCell ref="I54:I59"/>
    <mergeCell ref="A44:B44"/>
    <mergeCell ref="I44:I49"/>
    <mergeCell ref="A52:B52"/>
    <mergeCell ref="E52:I52"/>
    <mergeCell ref="E53:F53"/>
    <mergeCell ref="L23:L27"/>
    <mergeCell ref="I24:I27"/>
    <mergeCell ref="E33:I33"/>
    <mergeCell ref="A34:B34"/>
    <mergeCell ref="E34:F34"/>
    <mergeCell ref="E23:F23"/>
    <mergeCell ref="C15:C18"/>
    <mergeCell ref="S15:T15"/>
    <mergeCell ref="A21:B21"/>
    <mergeCell ref="E21:I21"/>
    <mergeCell ref="A22:B22"/>
    <mergeCell ref="E22:I22"/>
    <mergeCell ref="L15:L18"/>
    <mergeCell ref="M15:N15"/>
    <mergeCell ref="O15:O18"/>
    <mergeCell ref="P15:Q15"/>
    <mergeCell ref="R15:R18"/>
    <mergeCell ref="C12:D12"/>
    <mergeCell ref="A13:B13"/>
    <mergeCell ref="C13:D13"/>
    <mergeCell ref="A4:B4"/>
    <mergeCell ref="A5:B5"/>
    <mergeCell ref="I35:I37"/>
    <mergeCell ref="E42:I42"/>
    <mergeCell ref="E43:F43"/>
    <mergeCell ref="A1:K1"/>
    <mergeCell ref="A8:K8"/>
    <mergeCell ref="A9:K9"/>
    <mergeCell ref="D15:E15"/>
    <mergeCell ref="F15:F18"/>
    <mergeCell ref="G15:H15"/>
    <mergeCell ref="I15:I18"/>
    <mergeCell ref="J15:K15"/>
    <mergeCell ref="A3:B3"/>
    <mergeCell ref="A7:K7"/>
    <mergeCell ref="A11:D11"/>
    <mergeCell ref="A15:B15"/>
    <mergeCell ref="A12:B1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sheetPr>
  <dimension ref="A1:Q27"/>
  <sheetViews>
    <sheetView workbookViewId="0">
      <selection activeCell="M12" sqref="M12"/>
    </sheetView>
  </sheetViews>
  <sheetFormatPr baseColWidth="10" defaultColWidth="8.83203125" defaultRowHeight="16"/>
  <cols>
    <col min="1" max="1" width="19.83203125" style="328" customWidth="1"/>
    <col min="2" max="2" width="24.33203125" style="328" customWidth="1"/>
    <col min="3" max="16384" width="8.83203125" style="328"/>
  </cols>
  <sheetData>
    <row r="1" spans="1:17">
      <c r="A1" s="380" t="s">
        <v>1348</v>
      </c>
      <c r="B1" s="381"/>
      <c r="C1" s="381"/>
      <c r="D1" s="381"/>
      <c r="E1" s="381"/>
      <c r="F1" s="382" t="s">
        <v>1349</v>
      </c>
      <c r="G1" s="382"/>
      <c r="H1" s="382"/>
      <c r="I1" s="382"/>
      <c r="J1" s="382"/>
      <c r="K1" s="382"/>
      <c r="L1" s="382"/>
      <c r="M1" s="382"/>
      <c r="N1" s="382"/>
      <c r="O1" s="382"/>
      <c r="P1" s="382"/>
      <c r="Q1" s="382"/>
    </row>
    <row r="2" spans="1:17">
      <c r="A2" s="380" t="s">
        <v>474</v>
      </c>
      <c r="B2" s="381"/>
      <c r="C2" s="381"/>
      <c r="D2" s="381"/>
      <c r="E2" s="381"/>
      <c r="F2" s="382"/>
      <c r="G2" s="382"/>
      <c r="H2" s="382"/>
      <c r="I2" s="382"/>
      <c r="J2" s="382"/>
      <c r="K2" s="382"/>
      <c r="L2" s="382"/>
      <c r="M2" s="382"/>
      <c r="N2" s="382"/>
      <c r="O2" s="382"/>
      <c r="P2" s="382"/>
      <c r="Q2" s="382"/>
    </row>
    <row r="4" spans="1:17">
      <c r="A4" s="328" t="s">
        <v>1350</v>
      </c>
    </row>
    <row r="5" spans="1:17">
      <c r="A5" s="328" t="s">
        <v>1351</v>
      </c>
    </row>
    <row r="6" spans="1:17" ht="15" customHeight="1">
      <c r="A6" s="328" t="s">
        <v>1352</v>
      </c>
    </row>
    <row r="7" spans="1:17">
      <c r="A7" s="328" t="s">
        <v>1353</v>
      </c>
    </row>
    <row r="8" spans="1:17">
      <c r="A8" s="328" t="s">
        <v>1354</v>
      </c>
    </row>
    <row r="10" spans="1:17">
      <c r="A10" s="380" t="s">
        <v>1355</v>
      </c>
      <c r="B10" s="381"/>
      <c r="C10" s="381"/>
      <c r="D10" s="381"/>
      <c r="E10" s="381"/>
    </row>
    <row r="11" spans="1:17">
      <c r="A11" s="380" t="s">
        <v>1109</v>
      </c>
      <c r="B11" s="381"/>
      <c r="C11" s="381"/>
      <c r="D11" s="381"/>
      <c r="E11" s="381"/>
    </row>
    <row r="13" spans="1:17">
      <c r="A13" s="328" t="s">
        <v>1356</v>
      </c>
    </row>
    <row r="14" spans="1:17">
      <c r="A14" s="328" t="s">
        <v>1357</v>
      </c>
    </row>
    <row r="16" spans="1:17">
      <c r="A16" s="380" t="s">
        <v>477</v>
      </c>
      <c r="B16" s="381"/>
      <c r="C16" s="381"/>
      <c r="D16" s="381"/>
      <c r="E16" s="381"/>
    </row>
    <row r="18" spans="1:6">
      <c r="A18" s="328" t="s">
        <v>1358</v>
      </c>
    </row>
    <row r="20" spans="1:6">
      <c r="A20" s="380" t="s">
        <v>478</v>
      </c>
      <c r="B20" s="381"/>
      <c r="C20" s="381"/>
      <c r="D20" s="381"/>
      <c r="E20" s="381"/>
      <c r="F20" s="328" t="s">
        <v>1359</v>
      </c>
    </row>
    <row r="22" spans="1:6">
      <c r="A22" s="328" t="s">
        <v>1360</v>
      </c>
    </row>
    <row r="23" spans="1:6">
      <c r="A23" s="328" t="s">
        <v>1361</v>
      </c>
    </row>
    <row r="24" spans="1:6">
      <c r="A24" s="328" t="s">
        <v>1362</v>
      </c>
    </row>
    <row r="25" spans="1:6">
      <c r="A25" s="328" t="s">
        <v>1363</v>
      </c>
    </row>
    <row r="26" spans="1:6">
      <c r="A26" s="328" t="s">
        <v>1364</v>
      </c>
    </row>
    <row r="27" spans="1:6">
      <c r="A27" s="328" t="s">
        <v>1365</v>
      </c>
    </row>
  </sheetData>
  <mergeCells count="7">
    <mergeCell ref="A20:E20"/>
    <mergeCell ref="A1:E1"/>
    <mergeCell ref="F1:Q2"/>
    <mergeCell ref="A2:E2"/>
    <mergeCell ref="A10:E10"/>
    <mergeCell ref="A11:E11"/>
    <mergeCell ref="A16:E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pageSetUpPr autoPageBreaks="0"/>
  </sheetPr>
  <dimension ref="A1:T207"/>
  <sheetViews>
    <sheetView zoomScale="60" zoomScaleNormal="60" workbookViewId="0">
      <selection activeCell="M97" sqref="M97"/>
    </sheetView>
  </sheetViews>
  <sheetFormatPr baseColWidth="10" defaultColWidth="11" defaultRowHeight="16"/>
  <cols>
    <col min="1" max="1" width="20" style="40" customWidth="1"/>
    <col min="2" max="2" width="31.1640625" style="40" bestFit="1" customWidth="1"/>
    <col min="3" max="3" width="18.1640625" style="40" customWidth="1"/>
    <col min="4" max="4" width="16" style="40" customWidth="1"/>
    <col min="5" max="5" width="15.1640625" style="40" customWidth="1"/>
    <col min="6" max="6" width="15" style="40" customWidth="1"/>
    <col min="7" max="7" width="14.1640625" style="40" customWidth="1"/>
    <col min="8" max="8" width="17.33203125" style="40" customWidth="1"/>
    <col min="9" max="11" width="24.1640625" style="40" customWidth="1"/>
    <col min="12" max="12" width="16.33203125" style="40" customWidth="1"/>
    <col min="13" max="13" width="32.83203125" style="40" bestFit="1" customWidth="1"/>
    <col min="14" max="15" width="30.1640625" style="40" bestFit="1" customWidth="1"/>
    <col min="16" max="16" width="33" style="40" customWidth="1"/>
    <col min="17" max="17" width="17.5" style="40" customWidth="1"/>
    <col min="18" max="18" width="14.1640625" style="40" customWidth="1"/>
    <col min="19" max="19" width="14.5" style="40" customWidth="1"/>
    <col min="20" max="20" width="17.83203125" style="40" customWidth="1"/>
    <col min="21" max="16384" width="11" style="40"/>
  </cols>
  <sheetData>
    <row r="1" spans="1:18" s="1" customFormat="1" ht="25.5" customHeight="1" thickBot="1">
      <c r="A1" s="388" t="s">
        <v>306</v>
      </c>
      <c r="B1" s="389"/>
      <c r="C1" s="389"/>
      <c r="D1" s="389"/>
      <c r="E1" s="389"/>
      <c r="F1" s="389"/>
      <c r="G1" s="389"/>
      <c r="H1" s="389"/>
      <c r="I1" s="389"/>
      <c r="J1" s="389"/>
      <c r="K1" s="389"/>
      <c r="L1" s="389"/>
      <c r="M1" s="389"/>
      <c r="N1" s="389"/>
      <c r="O1" s="389"/>
      <c r="P1" s="294"/>
    </row>
    <row r="2" spans="1:18" s="1" customFormat="1" ht="16.5" customHeight="1" thickBot="1">
      <c r="A2" s="390" t="s">
        <v>174</v>
      </c>
      <c r="B2" s="391"/>
      <c r="C2" s="391"/>
      <c r="D2" s="391"/>
      <c r="E2" s="391"/>
      <c r="F2" s="391"/>
      <c r="G2" s="391"/>
      <c r="H2" s="391"/>
      <c r="I2" s="391"/>
      <c r="J2" s="391"/>
      <c r="K2" s="391"/>
      <c r="L2" s="391"/>
      <c r="M2" s="391"/>
      <c r="N2" s="391"/>
      <c r="O2" s="391"/>
      <c r="P2" s="295"/>
      <c r="Q2" s="20"/>
    </row>
    <row r="3" spans="1:18" s="1" customFormat="1" ht="72.75" customHeight="1">
      <c r="A3" s="160" t="s">
        <v>180</v>
      </c>
      <c r="B3" s="330" t="s">
        <v>238</v>
      </c>
      <c r="C3" s="394" t="s">
        <v>215</v>
      </c>
      <c r="D3" s="395"/>
      <c r="E3" s="395"/>
      <c r="F3" s="395"/>
      <c r="G3" s="395"/>
      <c r="H3" s="330" t="s">
        <v>239</v>
      </c>
      <c r="I3" s="161" t="s">
        <v>309</v>
      </c>
      <c r="J3" s="161"/>
      <c r="K3" s="162" t="s">
        <v>240</v>
      </c>
      <c r="L3" s="238" t="s">
        <v>241</v>
      </c>
      <c r="M3" s="383" t="s">
        <v>299</v>
      </c>
      <c r="N3" s="383"/>
      <c r="O3" s="384"/>
      <c r="P3" s="20"/>
    </row>
    <row r="4" spans="1:18" s="1" customFormat="1" ht="37.5" customHeight="1" thickBot="1">
      <c r="A4" s="152" t="s">
        <v>2</v>
      </c>
      <c r="B4" s="153" t="s">
        <v>5</v>
      </c>
      <c r="C4" s="153" t="s">
        <v>420</v>
      </c>
      <c r="D4" s="153" t="s">
        <v>421</v>
      </c>
      <c r="E4" s="153" t="s">
        <v>422</v>
      </c>
      <c r="F4" s="153" t="s">
        <v>230</v>
      </c>
      <c r="G4" s="47" t="s">
        <v>165</v>
      </c>
      <c r="H4" s="47" t="s">
        <v>310</v>
      </c>
      <c r="I4" s="153" t="s">
        <v>467</v>
      </c>
      <c r="J4" s="153" t="s">
        <v>468</v>
      </c>
      <c r="K4" s="153" t="s">
        <v>469</v>
      </c>
      <c r="L4" s="163" t="s">
        <v>288</v>
      </c>
      <c r="M4" s="159"/>
      <c r="N4" s="114"/>
      <c r="O4" s="115"/>
    </row>
    <row r="5" spans="1:18" s="1" customFormat="1" ht="17">
      <c r="A5" s="31">
        <v>1</v>
      </c>
      <c r="B5" s="329" t="str">
        <f>CONCATENATE(C5,"ngFlpO_",D5,"ngSHRNA_",E5,"DOX_",F5,"hr")</f>
        <v>5ngFlpO_0ngSHRNA_+DOX_6hr</v>
      </c>
      <c r="C5" s="154">
        <v>5</v>
      </c>
      <c r="D5" s="32">
        <v>0</v>
      </c>
      <c r="E5" s="155" t="s">
        <v>213</v>
      </c>
      <c r="F5" s="32">
        <v>6</v>
      </c>
      <c r="G5" s="33">
        <v>1</v>
      </c>
      <c r="H5" s="33"/>
      <c r="I5" s="33" t="s">
        <v>423</v>
      </c>
      <c r="J5" s="33" t="s">
        <v>217</v>
      </c>
      <c r="K5" s="34" t="s">
        <v>424</v>
      </c>
      <c r="L5" s="157" t="s">
        <v>4</v>
      </c>
      <c r="M5" s="116" t="s">
        <v>505</v>
      </c>
      <c r="N5" s="164" t="s">
        <v>506</v>
      </c>
      <c r="O5" s="165" t="s">
        <v>507</v>
      </c>
      <c r="P5" s="40"/>
      <c r="Q5" s="40"/>
      <c r="R5" s="40"/>
    </row>
    <row r="6" spans="1:18" s="1" customFormat="1" ht="17">
      <c r="A6" s="31">
        <v>2</v>
      </c>
      <c r="B6" s="329" t="str">
        <f t="shared" ref="B6:B69" si="0">CONCATENATE(C6,"ngFlpO_",D6,"ngSHRNA_",E6,"DOX_",F6,"hr")</f>
        <v>5ngFlpO_1ngSHRNA_+DOX_6hr</v>
      </c>
      <c r="C6" s="154">
        <v>5</v>
      </c>
      <c r="D6" s="32">
        <v>1</v>
      </c>
      <c r="E6" s="155" t="s">
        <v>213</v>
      </c>
      <c r="F6" s="32">
        <v>6</v>
      </c>
      <c r="G6" s="33">
        <v>1</v>
      </c>
      <c r="H6" s="33"/>
      <c r="I6" s="33" t="s">
        <v>423</v>
      </c>
      <c r="J6" s="33" t="s">
        <v>217</v>
      </c>
      <c r="K6" s="34" t="s">
        <v>425</v>
      </c>
      <c r="L6" s="157" t="s">
        <v>4</v>
      </c>
      <c r="M6" s="149" t="s">
        <v>508</v>
      </c>
      <c r="N6" s="166" t="s">
        <v>509</v>
      </c>
      <c r="O6" s="167" t="s">
        <v>510</v>
      </c>
      <c r="P6" s="40"/>
      <c r="Q6" s="40"/>
      <c r="R6" s="40"/>
    </row>
    <row r="7" spans="1:18" s="1" customFormat="1" ht="17">
      <c r="A7" s="31">
        <v>3</v>
      </c>
      <c r="B7" s="329" t="str">
        <f t="shared" si="0"/>
        <v>5ngFlpO_5ngSHRNA_+DOX_6hr</v>
      </c>
      <c r="C7" s="154">
        <v>5</v>
      </c>
      <c r="D7" s="32">
        <v>5</v>
      </c>
      <c r="E7" s="155" t="s">
        <v>213</v>
      </c>
      <c r="F7" s="32">
        <v>6</v>
      </c>
      <c r="G7" s="33">
        <v>1</v>
      </c>
      <c r="H7" s="33"/>
      <c r="I7" s="33" t="s">
        <v>423</v>
      </c>
      <c r="J7" s="33" t="s">
        <v>217</v>
      </c>
      <c r="K7" s="34" t="s">
        <v>426</v>
      </c>
      <c r="L7" s="157" t="s">
        <v>4</v>
      </c>
      <c r="M7" s="149" t="s">
        <v>511</v>
      </c>
      <c r="N7" s="166" t="s">
        <v>512</v>
      </c>
      <c r="O7" s="167" t="s">
        <v>513</v>
      </c>
      <c r="P7" s="40"/>
      <c r="Q7" s="40"/>
      <c r="R7" s="40"/>
    </row>
    <row r="8" spans="1:18" s="1" customFormat="1" ht="17">
      <c r="A8" s="31">
        <v>4</v>
      </c>
      <c r="B8" s="329" t="str">
        <f t="shared" si="0"/>
        <v>5ngFlpO_10ngSHRNA_+DOX_6hr</v>
      </c>
      <c r="C8" s="154">
        <v>5</v>
      </c>
      <c r="D8" s="32">
        <v>10</v>
      </c>
      <c r="E8" s="155" t="s">
        <v>213</v>
      </c>
      <c r="F8" s="32">
        <v>6</v>
      </c>
      <c r="G8" s="33">
        <v>1</v>
      </c>
      <c r="H8" s="33"/>
      <c r="I8" s="33" t="s">
        <v>423</v>
      </c>
      <c r="J8" s="33" t="s">
        <v>217</v>
      </c>
      <c r="K8" s="34" t="s">
        <v>427</v>
      </c>
      <c r="L8" s="157" t="s">
        <v>4</v>
      </c>
      <c r="M8" s="149" t="s">
        <v>514</v>
      </c>
      <c r="N8" s="166" t="s">
        <v>515</v>
      </c>
      <c r="O8" s="167" t="s">
        <v>516</v>
      </c>
      <c r="P8" s="40"/>
      <c r="Q8" s="40"/>
      <c r="R8" s="40"/>
    </row>
    <row r="9" spans="1:18" s="1" customFormat="1" ht="17">
      <c r="A9" s="31">
        <v>5</v>
      </c>
      <c r="B9" s="329" t="str">
        <f t="shared" si="0"/>
        <v>5ngFlpO_20ngSHRNA_+DOX_6hr</v>
      </c>
      <c r="C9" s="154">
        <v>5</v>
      </c>
      <c r="D9" s="32">
        <v>20</v>
      </c>
      <c r="E9" s="155" t="s">
        <v>213</v>
      </c>
      <c r="F9" s="32">
        <v>6</v>
      </c>
      <c r="G9" s="33">
        <v>1</v>
      </c>
      <c r="H9" s="33"/>
      <c r="I9" s="33" t="s">
        <v>423</v>
      </c>
      <c r="J9" s="33" t="s">
        <v>217</v>
      </c>
      <c r="K9" s="34" t="s">
        <v>428</v>
      </c>
      <c r="L9" s="157" t="s">
        <v>4</v>
      </c>
      <c r="M9" s="149" t="s">
        <v>517</v>
      </c>
      <c r="N9" s="166" t="s">
        <v>518</v>
      </c>
      <c r="O9" s="167" t="s">
        <v>519</v>
      </c>
      <c r="P9" s="40"/>
      <c r="Q9" s="40"/>
      <c r="R9" s="40"/>
    </row>
    <row r="10" spans="1:18" s="1" customFormat="1" ht="17">
      <c r="A10" s="31">
        <v>6</v>
      </c>
      <c r="B10" s="329" t="str">
        <f t="shared" si="0"/>
        <v>15ngFlpO_0ngSHRNA_+DOX_6hr</v>
      </c>
      <c r="C10" s="154">
        <v>15</v>
      </c>
      <c r="D10" s="32">
        <v>0</v>
      </c>
      <c r="E10" s="155" t="s">
        <v>213</v>
      </c>
      <c r="F10" s="32">
        <v>6</v>
      </c>
      <c r="G10" s="33">
        <v>1</v>
      </c>
      <c r="H10" s="33"/>
      <c r="I10" s="33" t="s">
        <v>423</v>
      </c>
      <c r="J10" s="33" t="s">
        <v>217</v>
      </c>
      <c r="K10" s="34" t="s">
        <v>429</v>
      </c>
      <c r="L10" s="157" t="s">
        <v>4</v>
      </c>
      <c r="M10" s="149" t="s">
        <v>520</v>
      </c>
      <c r="N10" s="166" t="s">
        <v>521</v>
      </c>
      <c r="O10" s="167" t="s">
        <v>522</v>
      </c>
      <c r="P10" s="40"/>
      <c r="Q10" s="40"/>
      <c r="R10" s="40"/>
    </row>
    <row r="11" spans="1:18" s="1" customFormat="1" ht="17">
      <c r="A11" s="31">
        <v>7</v>
      </c>
      <c r="B11" s="329" t="str">
        <f t="shared" si="0"/>
        <v>15ngFlpO_1ngSHRNA_+DOX_6hr</v>
      </c>
      <c r="C11" s="154">
        <v>15</v>
      </c>
      <c r="D11" s="32">
        <v>1</v>
      </c>
      <c r="E11" s="155" t="s">
        <v>213</v>
      </c>
      <c r="F11" s="32">
        <v>6</v>
      </c>
      <c r="G11" s="33">
        <v>1</v>
      </c>
      <c r="H11" s="33"/>
      <c r="I11" s="33" t="s">
        <v>423</v>
      </c>
      <c r="J11" s="33" t="s">
        <v>217</v>
      </c>
      <c r="K11" s="34" t="s">
        <v>430</v>
      </c>
      <c r="L11" s="157" t="s">
        <v>4</v>
      </c>
      <c r="M11" s="149" t="s">
        <v>523</v>
      </c>
      <c r="N11" s="166" t="s">
        <v>524</v>
      </c>
      <c r="O11" s="167" t="s">
        <v>525</v>
      </c>
      <c r="P11" s="40"/>
      <c r="Q11" s="40"/>
      <c r="R11" s="40"/>
    </row>
    <row r="12" spans="1:18" s="1" customFormat="1" ht="17">
      <c r="A12" s="31">
        <v>8</v>
      </c>
      <c r="B12" s="329" t="str">
        <f t="shared" si="0"/>
        <v>15ngFlpO_5ngSHRNA_+DOX_6hr</v>
      </c>
      <c r="C12" s="154">
        <v>15</v>
      </c>
      <c r="D12" s="32">
        <v>5</v>
      </c>
      <c r="E12" s="155" t="s">
        <v>213</v>
      </c>
      <c r="F12" s="32">
        <v>6</v>
      </c>
      <c r="G12" s="33">
        <v>1</v>
      </c>
      <c r="H12" s="33"/>
      <c r="I12" s="33" t="s">
        <v>423</v>
      </c>
      <c r="J12" s="33" t="s">
        <v>217</v>
      </c>
      <c r="K12" s="34" t="s">
        <v>431</v>
      </c>
      <c r="L12" s="157" t="s">
        <v>4</v>
      </c>
      <c r="M12" s="149" t="s">
        <v>526</v>
      </c>
      <c r="N12" s="166" t="s">
        <v>527</v>
      </c>
      <c r="O12" s="167" t="s">
        <v>528</v>
      </c>
      <c r="P12" s="40"/>
      <c r="Q12" s="40"/>
      <c r="R12" s="40"/>
    </row>
    <row r="13" spans="1:18" s="1" customFormat="1" ht="17">
      <c r="A13" s="31">
        <v>9</v>
      </c>
      <c r="B13" s="329" t="str">
        <f t="shared" si="0"/>
        <v>15ngFlpO_10ngSHRNA_+DOX_6hr</v>
      </c>
      <c r="C13" s="154">
        <v>15</v>
      </c>
      <c r="D13" s="32">
        <v>10</v>
      </c>
      <c r="E13" s="155" t="s">
        <v>213</v>
      </c>
      <c r="F13" s="32">
        <v>6</v>
      </c>
      <c r="G13" s="33">
        <v>1</v>
      </c>
      <c r="H13" s="33"/>
      <c r="I13" s="33" t="s">
        <v>423</v>
      </c>
      <c r="J13" s="33" t="s">
        <v>432</v>
      </c>
      <c r="K13" s="34" t="s">
        <v>433</v>
      </c>
      <c r="L13" s="157" t="s">
        <v>4</v>
      </c>
      <c r="M13" s="149" t="s">
        <v>529</v>
      </c>
      <c r="N13" s="166" t="s">
        <v>530</v>
      </c>
      <c r="O13" s="167" t="s">
        <v>531</v>
      </c>
      <c r="P13" s="40"/>
      <c r="Q13" s="40"/>
      <c r="R13" s="40"/>
    </row>
    <row r="14" spans="1:18" s="1" customFormat="1" ht="17">
      <c r="A14" s="31">
        <v>10</v>
      </c>
      <c r="B14" s="329" t="str">
        <f t="shared" si="0"/>
        <v>15ngFlpO_20ngSHRNA_+DOX_6hr</v>
      </c>
      <c r="C14" s="154">
        <v>15</v>
      </c>
      <c r="D14" s="32">
        <v>20</v>
      </c>
      <c r="E14" s="155" t="s">
        <v>213</v>
      </c>
      <c r="F14" s="32">
        <v>6</v>
      </c>
      <c r="G14" s="33">
        <v>1</v>
      </c>
      <c r="H14" s="33"/>
      <c r="I14" s="33" t="s">
        <v>423</v>
      </c>
      <c r="J14" s="33" t="s">
        <v>432</v>
      </c>
      <c r="K14" s="34" t="s">
        <v>434</v>
      </c>
      <c r="L14" s="157" t="s">
        <v>4</v>
      </c>
      <c r="M14" s="149" t="s">
        <v>532</v>
      </c>
      <c r="N14" s="166" t="s">
        <v>533</v>
      </c>
      <c r="O14" s="167" t="s">
        <v>534</v>
      </c>
      <c r="P14" s="40"/>
      <c r="Q14" s="40"/>
      <c r="R14" s="40"/>
    </row>
    <row r="15" spans="1:18" s="1" customFormat="1" ht="17">
      <c r="A15" s="31">
        <v>11</v>
      </c>
      <c r="B15" s="329" t="str">
        <f t="shared" si="0"/>
        <v>25ngFlpO_0ngSHRNA_+DOX_6hr</v>
      </c>
      <c r="C15" s="154">
        <v>25</v>
      </c>
      <c r="D15" s="32">
        <v>0</v>
      </c>
      <c r="E15" s="155" t="s">
        <v>213</v>
      </c>
      <c r="F15" s="32">
        <v>6</v>
      </c>
      <c r="G15" s="33">
        <v>1</v>
      </c>
      <c r="H15" s="33"/>
      <c r="I15" s="33" t="s">
        <v>423</v>
      </c>
      <c r="J15" s="33" t="s">
        <v>432</v>
      </c>
      <c r="K15" s="34" t="s">
        <v>435</v>
      </c>
      <c r="L15" s="157" t="s">
        <v>4</v>
      </c>
      <c r="M15" s="149" t="s">
        <v>535</v>
      </c>
      <c r="N15" s="166" t="s">
        <v>536</v>
      </c>
      <c r="O15" s="167" t="s">
        <v>537</v>
      </c>
      <c r="P15" s="40"/>
      <c r="Q15" s="40"/>
      <c r="R15" s="40"/>
    </row>
    <row r="16" spans="1:18" s="1" customFormat="1" ht="17">
      <c r="A16" s="31">
        <v>12</v>
      </c>
      <c r="B16" s="329" t="str">
        <f t="shared" si="0"/>
        <v>25ngFlpO_1ngSHRNA_+DOX_6hr</v>
      </c>
      <c r="C16" s="154">
        <v>25</v>
      </c>
      <c r="D16" s="32">
        <v>1</v>
      </c>
      <c r="E16" s="155" t="s">
        <v>213</v>
      </c>
      <c r="F16" s="32">
        <v>6</v>
      </c>
      <c r="G16" s="33">
        <v>1</v>
      </c>
      <c r="H16" s="33"/>
      <c r="I16" s="33" t="s">
        <v>423</v>
      </c>
      <c r="J16" s="33" t="s">
        <v>432</v>
      </c>
      <c r="K16" s="34" t="s">
        <v>436</v>
      </c>
      <c r="L16" s="157" t="s">
        <v>4</v>
      </c>
      <c r="M16" s="149" t="s">
        <v>538</v>
      </c>
      <c r="N16" s="166" t="s">
        <v>539</v>
      </c>
      <c r="O16" s="167" t="s">
        <v>540</v>
      </c>
      <c r="P16" s="40"/>
      <c r="Q16" s="40"/>
      <c r="R16" s="40"/>
    </row>
    <row r="17" spans="1:18" s="1" customFormat="1" ht="17">
      <c r="A17" s="31">
        <v>13</v>
      </c>
      <c r="B17" s="329" t="str">
        <f t="shared" si="0"/>
        <v>25ngFlpO_5ngSHRNA_+DOX_6hr</v>
      </c>
      <c r="C17" s="154">
        <v>25</v>
      </c>
      <c r="D17" s="32">
        <v>5</v>
      </c>
      <c r="E17" s="155" t="s">
        <v>213</v>
      </c>
      <c r="F17" s="32">
        <v>6</v>
      </c>
      <c r="G17" s="33">
        <v>1</v>
      </c>
      <c r="H17" s="33"/>
      <c r="I17" s="33" t="s">
        <v>423</v>
      </c>
      <c r="J17" s="33" t="s">
        <v>432</v>
      </c>
      <c r="K17" s="34" t="s">
        <v>437</v>
      </c>
      <c r="L17" s="157" t="s">
        <v>4</v>
      </c>
      <c r="M17" s="149" t="s">
        <v>541</v>
      </c>
      <c r="N17" s="166" t="s">
        <v>542</v>
      </c>
      <c r="O17" s="167" t="s">
        <v>543</v>
      </c>
      <c r="P17" s="40"/>
      <c r="Q17" s="40"/>
      <c r="R17" s="40"/>
    </row>
    <row r="18" spans="1:18" s="1" customFormat="1" ht="17">
      <c r="A18" s="31">
        <v>14</v>
      </c>
      <c r="B18" s="329" t="str">
        <f t="shared" si="0"/>
        <v>25ngFlpO_10ngSHRNA_+DOX_6hr</v>
      </c>
      <c r="C18" s="154">
        <v>25</v>
      </c>
      <c r="D18" s="32">
        <v>10</v>
      </c>
      <c r="E18" s="155" t="s">
        <v>213</v>
      </c>
      <c r="F18" s="32">
        <v>6</v>
      </c>
      <c r="G18" s="33">
        <v>1</v>
      </c>
      <c r="H18" s="33"/>
      <c r="I18" s="33" t="s">
        <v>423</v>
      </c>
      <c r="J18" s="33" t="s">
        <v>432</v>
      </c>
      <c r="K18" s="34" t="s">
        <v>438</v>
      </c>
      <c r="L18" s="157" t="s">
        <v>4</v>
      </c>
      <c r="M18" s="149" t="s">
        <v>544</v>
      </c>
      <c r="N18" s="166" t="s">
        <v>545</v>
      </c>
      <c r="O18" s="167" t="s">
        <v>546</v>
      </c>
      <c r="P18" s="40"/>
      <c r="Q18" s="40"/>
      <c r="R18" s="40"/>
    </row>
    <row r="19" spans="1:18" s="1" customFormat="1" ht="17">
      <c r="A19" s="31">
        <v>15</v>
      </c>
      <c r="B19" s="329" t="str">
        <f t="shared" si="0"/>
        <v>25ngFlpO_20ngSHRNA_+DOX_6hr</v>
      </c>
      <c r="C19" s="154">
        <v>25</v>
      </c>
      <c r="D19" s="32">
        <v>20</v>
      </c>
      <c r="E19" s="155" t="s">
        <v>213</v>
      </c>
      <c r="F19" s="32">
        <v>6</v>
      </c>
      <c r="G19" s="33">
        <v>1</v>
      </c>
      <c r="H19" s="33"/>
      <c r="I19" s="33" t="s">
        <v>423</v>
      </c>
      <c r="J19" s="33" t="s">
        <v>432</v>
      </c>
      <c r="K19" s="34" t="s">
        <v>439</v>
      </c>
      <c r="L19" s="157" t="s">
        <v>4</v>
      </c>
      <c r="M19" s="149" t="s">
        <v>547</v>
      </c>
      <c r="N19" s="166" t="s">
        <v>548</v>
      </c>
      <c r="O19" s="167" t="s">
        <v>549</v>
      </c>
      <c r="P19" s="40"/>
      <c r="Q19" s="40"/>
      <c r="R19" s="40"/>
    </row>
    <row r="20" spans="1:18" s="1" customFormat="1" ht="17">
      <c r="A20" s="31">
        <v>16</v>
      </c>
      <c r="B20" s="329" t="str">
        <f t="shared" si="0"/>
        <v>35ngFlpO_0ngSHRNA_+DOX_6hr</v>
      </c>
      <c r="C20" s="154">
        <v>35</v>
      </c>
      <c r="D20" s="32">
        <v>0</v>
      </c>
      <c r="E20" s="155" t="s">
        <v>213</v>
      </c>
      <c r="F20" s="32">
        <v>6</v>
      </c>
      <c r="G20" s="33">
        <v>1</v>
      </c>
      <c r="H20" s="33"/>
      <c r="I20" s="33" t="s">
        <v>423</v>
      </c>
      <c r="J20" s="33" t="s">
        <v>432</v>
      </c>
      <c r="K20" s="34" t="s">
        <v>440</v>
      </c>
      <c r="L20" s="157" t="s">
        <v>4</v>
      </c>
      <c r="M20" s="149" t="s">
        <v>550</v>
      </c>
      <c r="N20" s="166" t="s">
        <v>551</v>
      </c>
      <c r="O20" s="167" t="s">
        <v>552</v>
      </c>
      <c r="P20" s="40"/>
      <c r="Q20" s="40"/>
      <c r="R20" s="40"/>
    </row>
    <row r="21" spans="1:18" s="1" customFormat="1" ht="17">
      <c r="A21" s="31">
        <v>17</v>
      </c>
      <c r="B21" s="329" t="str">
        <f t="shared" si="0"/>
        <v>35ngFlpO_1ngSHRNA_+DOX_6hr</v>
      </c>
      <c r="C21" s="154">
        <v>35</v>
      </c>
      <c r="D21" s="32">
        <v>1</v>
      </c>
      <c r="E21" s="155" t="s">
        <v>213</v>
      </c>
      <c r="F21" s="32">
        <v>6</v>
      </c>
      <c r="G21" s="33">
        <v>1</v>
      </c>
      <c r="H21" s="33"/>
      <c r="I21" s="33" t="s">
        <v>423</v>
      </c>
      <c r="J21" s="33" t="s">
        <v>441</v>
      </c>
      <c r="K21" s="34" t="s">
        <v>442</v>
      </c>
      <c r="L21" s="157" t="s">
        <v>4</v>
      </c>
      <c r="M21" s="149" t="s">
        <v>553</v>
      </c>
      <c r="N21" s="166" t="s">
        <v>554</v>
      </c>
      <c r="O21" s="167" t="s">
        <v>555</v>
      </c>
      <c r="P21" s="40"/>
      <c r="Q21" s="40"/>
      <c r="R21" s="40"/>
    </row>
    <row r="22" spans="1:18" s="1" customFormat="1" ht="17">
      <c r="A22" s="31">
        <v>18</v>
      </c>
      <c r="B22" s="329" t="str">
        <f t="shared" si="0"/>
        <v>35ngFlpO_5ngSHRNA_+DOX_6hr</v>
      </c>
      <c r="C22" s="154">
        <v>35</v>
      </c>
      <c r="D22" s="32">
        <v>5</v>
      </c>
      <c r="E22" s="155" t="s">
        <v>213</v>
      </c>
      <c r="F22" s="32">
        <v>6</v>
      </c>
      <c r="G22" s="33">
        <v>1</v>
      </c>
      <c r="H22" s="33"/>
      <c r="I22" s="33" t="s">
        <v>423</v>
      </c>
      <c r="J22" s="33" t="s">
        <v>441</v>
      </c>
      <c r="K22" s="34" t="s">
        <v>443</v>
      </c>
      <c r="L22" s="157" t="s">
        <v>4</v>
      </c>
      <c r="M22" s="149" t="s">
        <v>556</v>
      </c>
      <c r="N22" s="166" t="s">
        <v>557</v>
      </c>
      <c r="O22" s="167" t="s">
        <v>558</v>
      </c>
      <c r="P22" s="40"/>
      <c r="Q22" s="40"/>
      <c r="R22" s="40"/>
    </row>
    <row r="23" spans="1:18" s="1" customFormat="1" ht="17">
      <c r="A23" s="31">
        <v>19</v>
      </c>
      <c r="B23" s="329" t="str">
        <f t="shared" si="0"/>
        <v>35ngFlpO_10ngSHRNA_+DOX_6hr</v>
      </c>
      <c r="C23" s="154">
        <v>35</v>
      </c>
      <c r="D23" s="32">
        <v>10</v>
      </c>
      <c r="E23" s="155" t="s">
        <v>213</v>
      </c>
      <c r="F23" s="32">
        <v>6</v>
      </c>
      <c r="G23" s="33">
        <v>1</v>
      </c>
      <c r="H23" s="33"/>
      <c r="I23" s="33" t="s">
        <v>423</v>
      </c>
      <c r="J23" s="33" t="s">
        <v>441</v>
      </c>
      <c r="K23" s="34" t="s">
        <v>444</v>
      </c>
      <c r="L23" s="157" t="s">
        <v>4</v>
      </c>
      <c r="M23" s="149" t="s">
        <v>559</v>
      </c>
      <c r="N23" s="166" t="s">
        <v>560</v>
      </c>
      <c r="O23" s="167" t="s">
        <v>561</v>
      </c>
      <c r="P23" s="40"/>
      <c r="Q23" s="40"/>
      <c r="R23" s="40"/>
    </row>
    <row r="24" spans="1:18" s="1" customFormat="1" ht="17">
      <c r="A24" s="31">
        <v>20</v>
      </c>
      <c r="B24" s="329" t="str">
        <f t="shared" si="0"/>
        <v>35ngFlpO_20ngSHRNA_+DOX_6hr</v>
      </c>
      <c r="C24" s="154">
        <v>35</v>
      </c>
      <c r="D24" s="32">
        <v>20</v>
      </c>
      <c r="E24" s="155" t="s">
        <v>213</v>
      </c>
      <c r="F24" s="32">
        <v>6</v>
      </c>
      <c r="G24" s="33">
        <v>1</v>
      </c>
      <c r="H24" s="33"/>
      <c r="I24" s="33" t="s">
        <v>423</v>
      </c>
      <c r="J24" s="33" t="s">
        <v>441</v>
      </c>
      <c r="K24" s="34" t="s">
        <v>445</v>
      </c>
      <c r="L24" s="157" t="s">
        <v>4</v>
      </c>
      <c r="M24" s="149" t="s">
        <v>562</v>
      </c>
      <c r="N24" s="166" t="s">
        <v>563</v>
      </c>
      <c r="O24" s="167" t="s">
        <v>564</v>
      </c>
      <c r="P24" s="40"/>
      <c r="Q24" s="40"/>
      <c r="R24" s="40"/>
    </row>
    <row r="25" spans="1:18" s="1" customFormat="1" ht="17">
      <c r="A25" s="31">
        <v>21</v>
      </c>
      <c r="B25" s="329" t="str">
        <f t="shared" si="0"/>
        <v>5ngFlpO_0ngSHRNA_-DOX_6hr</v>
      </c>
      <c r="C25" s="154">
        <v>5</v>
      </c>
      <c r="D25" s="32">
        <v>0</v>
      </c>
      <c r="E25" s="155" t="s">
        <v>214</v>
      </c>
      <c r="F25" s="32">
        <v>6</v>
      </c>
      <c r="G25" s="33">
        <v>1</v>
      </c>
      <c r="H25" s="33"/>
      <c r="I25" s="33" t="s">
        <v>423</v>
      </c>
      <c r="J25" s="33" t="s">
        <v>441</v>
      </c>
      <c r="K25" s="34" t="s">
        <v>446</v>
      </c>
      <c r="L25" s="157" t="s">
        <v>4</v>
      </c>
      <c r="M25" s="149" t="s">
        <v>565</v>
      </c>
      <c r="N25" s="166" t="s">
        <v>566</v>
      </c>
      <c r="O25" s="167" t="s">
        <v>567</v>
      </c>
      <c r="P25" s="40"/>
      <c r="Q25" s="40"/>
      <c r="R25" s="40"/>
    </row>
    <row r="26" spans="1:18" s="1" customFormat="1" ht="17">
      <c r="A26" s="31">
        <v>22</v>
      </c>
      <c r="B26" s="329" t="str">
        <f t="shared" si="0"/>
        <v>5ngFlpO_1ngSHRNA_-DOX_6hr</v>
      </c>
      <c r="C26" s="154">
        <v>5</v>
      </c>
      <c r="D26" s="32">
        <v>1</v>
      </c>
      <c r="E26" s="155" t="s">
        <v>214</v>
      </c>
      <c r="F26" s="32">
        <v>6</v>
      </c>
      <c r="G26" s="33">
        <v>1</v>
      </c>
      <c r="H26" s="33"/>
      <c r="I26" s="33" t="s">
        <v>423</v>
      </c>
      <c r="J26" s="33" t="s">
        <v>441</v>
      </c>
      <c r="K26" s="34" t="s">
        <v>447</v>
      </c>
      <c r="L26" s="157" t="s">
        <v>4</v>
      </c>
      <c r="M26" s="149" t="s">
        <v>568</v>
      </c>
      <c r="N26" s="166" t="s">
        <v>569</v>
      </c>
      <c r="O26" s="167" t="s">
        <v>570</v>
      </c>
      <c r="P26" s="40"/>
      <c r="Q26" s="40"/>
      <c r="R26" s="40"/>
    </row>
    <row r="27" spans="1:18" s="1" customFormat="1" ht="17">
      <c r="A27" s="31">
        <v>23</v>
      </c>
      <c r="B27" s="329" t="str">
        <f t="shared" si="0"/>
        <v>5ngFlpO_5ngSHRNA_-DOX_6hr</v>
      </c>
      <c r="C27" s="154">
        <v>5</v>
      </c>
      <c r="D27" s="32">
        <v>5</v>
      </c>
      <c r="E27" s="155" t="s">
        <v>214</v>
      </c>
      <c r="F27" s="32">
        <v>6</v>
      </c>
      <c r="G27" s="33">
        <v>1</v>
      </c>
      <c r="H27" s="33"/>
      <c r="I27" s="33" t="s">
        <v>423</v>
      </c>
      <c r="J27" s="33" t="s">
        <v>441</v>
      </c>
      <c r="K27" s="34" t="s">
        <v>448</v>
      </c>
      <c r="L27" s="157" t="s">
        <v>4</v>
      </c>
      <c r="M27" s="149" t="s">
        <v>571</v>
      </c>
      <c r="N27" s="166" t="s">
        <v>572</v>
      </c>
      <c r="O27" s="167" t="s">
        <v>573</v>
      </c>
      <c r="P27" s="40"/>
      <c r="Q27" s="40"/>
      <c r="R27" s="40"/>
    </row>
    <row r="28" spans="1:18" s="1" customFormat="1" ht="17">
      <c r="A28" s="31">
        <v>24</v>
      </c>
      <c r="B28" s="329" t="str">
        <f t="shared" si="0"/>
        <v>5ngFlpO_10ngSHRNA_-DOX_6hr</v>
      </c>
      <c r="C28" s="154">
        <v>5</v>
      </c>
      <c r="D28" s="32">
        <v>10</v>
      </c>
      <c r="E28" s="155" t="s">
        <v>214</v>
      </c>
      <c r="F28" s="32">
        <v>6</v>
      </c>
      <c r="G28" s="33">
        <v>1</v>
      </c>
      <c r="H28" s="33"/>
      <c r="I28" s="33" t="s">
        <v>423</v>
      </c>
      <c r="J28" s="33" t="s">
        <v>441</v>
      </c>
      <c r="K28" s="34" t="s">
        <v>449</v>
      </c>
      <c r="L28" s="157" t="s">
        <v>4</v>
      </c>
      <c r="M28" s="149" t="s">
        <v>574</v>
      </c>
      <c r="N28" s="166" t="s">
        <v>575</v>
      </c>
      <c r="O28" s="167" t="s">
        <v>576</v>
      </c>
      <c r="P28" s="40"/>
      <c r="Q28" s="40"/>
      <c r="R28" s="40"/>
    </row>
    <row r="29" spans="1:18" s="1" customFormat="1" ht="17">
      <c r="A29" s="31">
        <v>25</v>
      </c>
      <c r="B29" s="329" t="str">
        <f t="shared" si="0"/>
        <v>5ngFlpO_20ngSHRNA_-DOX_6hr</v>
      </c>
      <c r="C29" s="154">
        <v>5</v>
      </c>
      <c r="D29" s="32">
        <v>20</v>
      </c>
      <c r="E29" s="155" t="s">
        <v>214</v>
      </c>
      <c r="F29" s="32">
        <v>6</v>
      </c>
      <c r="G29" s="33">
        <v>1</v>
      </c>
      <c r="H29" s="33"/>
      <c r="I29" s="33" t="s">
        <v>423</v>
      </c>
      <c r="J29" s="33" t="s">
        <v>450</v>
      </c>
      <c r="K29" s="34" t="s">
        <v>451</v>
      </c>
      <c r="L29" s="157" t="s">
        <v>4</v>
      </c>
      <c r="M29" s="149" t="s">
        <v>577</v>
      </c>
      <c r="N29" s="166" t="s">
        <v>578</v>
      </c>
      <c r="O29" s="167" t="s">
        <v>579</v>
      </c>
      <c r="P29" s="40"/>
      <c r="Q29" s="40"/>
      <c r="R29" s="40"/>
    </row>
    <row r="30" spans="1:18" s="1" customFormat="1" ht="17">
      <c r="A30" s="31">
        <v>26</v>
      </c>
      <c r="B30" s="329" t="str">
        <f t="shared" si="0"/>
        <v>15ngFlpO_0ngSHRNA_-DOX_6hr</v>
      </c>
      <c r="C30" s="154">
        <v>15</v>
      </c>
      <c r="D30" s="32">
        <v>0</v>
      </c>
      <c r="E30" s="155" t="s">
        <v>214</v>
      </c>
      <c r="F30" s="32">
        <v>6</v>
      </c>
      <c r="G30" s="33">
        <v>1</v>
      </c>
      <c r="H30" s="33"/>
      <c r="I30" s="33" t="s">
        <v>423</v>
      </c>
      <c r="J30" s="33" t="s">
        <v>450</v>
      </c>
      <c r="K30" s="34" t="s">
        <v>452</v>
      </c>
      <c r="L30" s="157" t="s">
        <v>4</v>
      </c>
      <c r="M30" s="149" t="s">
        <v>580</v>
      </c>
      <c r="N30" s="166" t="s">
        <v>581</v>
      </c>
      <c r="O30" s="167" t="s">
        <v>582</v>
      </c>
      <c r="P30" s="40"/>
      <c r="Q30" s="40"/>
      <c r="R30" s="40"/>
    </row>
    <row r="31" spans="1:18" s="1" customFormat="1" ht="17">
      <c r="A31" s="31">
        <v>27</v>
      </c>
      <c r="B31" s="329" t="str">
        <f t="shared" si="0"/>
        <v>15ngFlpO_1ngSHRNA_-DOX_6hr</v>
      </c>
      <c r="C31" s="154">
        <v>15</v>
      </c>
      <c r="D31" s="32">
        <v>1</v>
      </c>
      <c r="E31" s="155" t="s">
        <v>214</v>
      </c>
      <c r="F31" s="32">
        <v>6</v>
      </c>
      <c r="G31" s="33">
        <v>1</v>
      </c>
      <c r="H31" s="33"/>
      <c r="I31" s="33" t="s">
        <v>423</v>
      </c>
      <c r="J31" s="33" t="s">
        <v>450</v>
      </c>
      <c r="K31" s="34" t="s">
        <v>453</v>
      </c>
      <c r="L31" s="157" t="s">
        <v>4</v>
      </c>
      <c r="M31" s="149" t="s">
        <v>583</v>
      </c>
      <c r="N31" s="166" t="s">
        <v>584</v>
      </c>
      <c r="O31" s="167" t="s">
        <v>585</v>
      </c>
      <c r="P31" s="40"/>
      <c r="Q31" s="40"/>
      <c r="R31" s="40"/>
    </row>
    <row r="32" spans="1:18" s="1" customFormat="1" ht="17">
      <c r="A32" s="31">
        <v>28</v>
      </c>
      <c r="B32" s="329" t="str">
        <f t="shared" si="0"/>
        <v>15ngFlpO_5ngSHRNA_-DOX_6hr</v>
      </c>
      <c r="C32" s="154">
        <v>15</v>
      </c>
      <c r="D32" s="32">
        <v>5</v>
      </c>
      <c r="E32" s="155" t="s">
        <v>214</v>
      </c>
      <c r="F32" s="32">
        <v>6</v>
      </c>
      <c r="G32" s="33">
        <v>1</v>
      </c>
      <c r="H32" s="33"/>
      <c r="I32" s="33" t="s">
        <v>423</v>
      </c>
      <c r="J32" s="33" t="s">
        <v>450</v>
      </c>
      <c r="K32" s="34" t="s">
        <v>454</v>
      </c>
      <c r="L32" s="157" t="s">
        <v>4</v>
      </c>
      <c r="M32" s="149" t="s">
        <v>586</v>
      </c>
      <c r="N32" s="166" t="s">
        <v>587</v>
      </c>
      <c r="O32" s="167" t="s">
        <v>588</v>
      </c>
      <c r="P32" s="40"/>
      <c r="Q32" s="40"/>
      <c r="R32" s="40"/>
    </row>
    <row r="33" spans="1:18" s="1" customFormat="1" ht="17">
      <c r="A33" s="31">
        <v>29</v>
      </c>
      <c r="B33" s="329" t="str">
        <f t="shared" si="0"/>
        <v>15ngFlpO_10ngSHRNA_-DOX_6hr</v>
      </c>
      <c r="C33" s="154">
        <v>15</v>
      </c>
      <c r="D33" s="32">
        <v>10</v>
      </c>
      <c r="E33" s="155" t="s">
        <v>214</v>
      </c>
      <c r="F33" s="32">
        <v>6</v>
      </c>
      <c r="G33" s="33">
        <v>1</v>
      </c>
      <c r="H33" s="33"/>
      <c r="I33" s="33" t="s">
        <v>423</v>
      </c>
      <c r="J33" s="33" t="s">
        <v>450</v>
      </c>
      <c r="K33" s="34" t="s">
        <v>455</v>
      </c>
      <c r="L33" s="157" t="s">
        <v>4</v>
      </c>
      <c r="M33" s="149" t="s">
        <v>589</v>
      </c>
      <c r="N33" s="166" t="s">
        <v>590</v>
      </c>
      <c r="O33" s="167" t="s">
        <v>591</v>
      </c>
      <c r="P33" s="40"/>
      <c r="Q33" s="40"/>
      <c r="R33" s="40"/>
    </row>
    <row r="34" spans="1:18" s="1" customFormat="1" ht="17">
      <c r="A34" s="31">
        <v>30</v>
      </c>
      <c r="B34" s="329" t="str">
        <f t="shared" si="0"/>
        <v>15ngFlpO_20ngSHRNA_-DOX_6hr</v>
      </c>
      <c r="C34" s="154">
        <v>15</v>
      </c>
      <c r="D34" s="32">
        <v>20</v>
      </c>
      <c r="E34" s="155" t="s">
        <v>214</v>
      </c>
      <c r="F34" s="32">
        <v>6</v>
      </c>
      <c r="G34" s="33">
        <v>1</v>
      </c>
      <c r="H34" s="33"/>
      <c r="I34" s="33" t="s">
        <v>423</v>
      </c>
      <c r="J34" s="33" t="s">
        <v>450</v>
      </c>
      <c r="K34" s="34" t="s">
        <v>456</v>
      </c>
      <c r="L34" s="157" t="s">
        <v>4</v>
      </c>
      <c r="M34" s="149" t="s">
        <v>592</v>
      </c>
      <c r="N34" s="166" t="s">
        <v>593</v>
      </c>
      <c r="O34" s="167" t="s">
        <v>594</v>
      </c>
      <c r="P34" s="40"/>
      <c r="Q34" s="40"/>
      <c r="R34" s="40"/>
    </row>
    <row r="35" spans="1:18" s="1" customFormat="1" ht="17">
      <c r="A35" s="31">
        <v>31</v>
      </c>
      <c r="B35" s="329" t="str">
        <f t="shared" si="0"/>
        <v>25ngFlpO_0ngSHRNA_-DOX_6hr</v>
      </c>
      <c r="C35" s="154">
        <v>25</v>
      </c>
      <c r="D35" s="32">
        <v>0</v>
      </c>
      <c r="E35" s="155" t="s">
        <v>214</v>
      </c>
      <c r="F35" s="32">
        <v>6</v>
      </c>
      <c r="G35" s="33">
        <v>1</v>
      </c>
      <c r="H35" s="33"/>
      <c r="I35" s="33" t="s">
        <v>423</v>
      </c>
      <c r="J35" s="33" t="s">
        <v>450</v>
      </c>
      <c r="K35" s="34" t="s">
        <v>457</v>
      </c>
      <c r="L35" s="157" t="s">
        <v>4</v>
      </c>
      <c r="M35" s="149" t="s">
        <v>595</v>
      </c>
      <c r="N35" s="166" t="s">
        <v>596</v>
      </c>
      <c r="O35" s="167" t="s">
        <v>597</v>
      </c>
      <c r="P35" s="40"/>
      <c r="Q35" s="40"/>
      <c r="R35" s="40"/>
    </row>
    <row r="36" spans="1:18" s="1" customFormat="1" ht="17">
      <c r="A36" s="31">
        <v>32</v>
      </c>
      <c r="B36" s="329" t="str">
        <f t="shared" si="0"/>
        <v>25ngFlpO_1ngSHRNA_-DOX_6hr</v>
      </c>
      <c r="C36" s="154">
        <v>25</v>
      </c>
      <c r="D36" s="32">
        <v>1</v>
      </c>
      <c r="E36" s="155" t="s">
        <v>214</v>
      </c>
      <c r="F36" s="32">
        <v>6</v>
      </c>
      <c r="G36" s="33">
        <v>1</v>
      </c>
      <c r="H36" s="33"/>
      <c r="I36" s="33" t="s">
        <v>423</v>
      </c>
      <c r="J36" s="33" t="s">
        <v>450</v>
      </c>
      <c r="K36" s="34" t="s">
        <v>458</v>
      </c>
      <c r="L36" s="157" t="s">
        <v>4</v>
      </c>
      <c r="M36" s="149" t="s">
        <v>598</v>
      </c>
      <c r="N36" s="166" t="s">
        <v>599</v>
      </c>
      <c r="O36" s="167" t="s">
        <v>600</v>
      </c>
      <c r="P36" s="40"/>
      <c r="Q36" s="40"/>
      <c r="R36" s="40"/>
    </row>
    <row r="37" spans="1:18" s="1" customFormat="1" ht="17">
      <c r="A37" s="31">
        <v>33</v>
      </c>
      <c r="B37" s="329" t="str">
        <f t="shared" si="0"/>
        <v>25ngFlpO_5ngSHRNA_-DOX_6hr</v>
      </c>
      <c r="C37" s="154">
        <v>25</v>
      </c>
      <c r="D37" s="32">
        <v>5</v>
      </c>
      <c r="E37" s="155" t="s">
        <v>214</v>
      </c>
      <c r="F37" s="32">
        <v>6</v>
      </c>
      <c r="G37" s="33">
        <v>1</v>
      </c>
      <c r="H37" s="33"/>
      <c r="I37" s="33" t="s">
        <v>459</v>
      </c>
      <c r="J37" s="33" t="s">
        <v>217</v>
      </c>
      <c r="K37" s="34" t="s">
        <v>424</v>
      </c>
      <c r="L37" s="157" t="s">
        <v>4</v>
      </c>
      <c r="M37" s="149" t="s">
        <v>601</v>
      </c>
      <c r="N37" s="166" t="s">
        <v>602</v>
      </c>
      <c r="O37" s="167" t="s">
        <v>603</v>
      </c>
      <c r="P37" s="40"/>
      <c r="Q37" s="40"/>
      <c r="R37" s="40"/>
    </row>
    <row r="38" spans="1:18" s="1" customFormat="1" ht="17">
      <c r="A38" s="31">
        <v>34</v>
      </c>
      <c r="B38" s="329" t="str">
        <f t="shared" si="0"/>
        <v>25ngFlpO_10ngSHRNA_-DOX_6hr</v>
      </c>
      <c r="C38" s="154">
        <v>25</v>
      </c>
      <c r="D38" s="32">
        <v>10</v>
      </c>
      <c r="E38" s="155" t="s">
        <v>214</v>
      </c>
      <c r="F38" s="32">
        <v>6</v>
      </c>
      <c r="G38" s="33">
        <v>1</v>
      </c>
      <c r="H38" s="33"/>
      <c r="I38" s="33" t="s">
        <v>459</v>
      </c>
      <c r="J38" s="33" t="s">
        <v>217</v>
      </c>
      <c r="K38" s="34" t="s">
        <v>425</v>
      </c>
      <c r="L38" s="157" t="s">
        <v>4</v>
      </c>
      <c r="M38" s="149" t="s">
        <v>604</v>
      </c>
      <c r="N38" s="166" t="s">
        <v>605</v>
      </c>
      <c r="O38" s="167" t="s">
        <v>606</v>
      </c>
      <c r="P38" s="40"/>
      <c r="Q38" s="40"/>
      <c r="R38" s="40"/>
    </row>
    <row r="39" spans="1:18" s="1" customFormat="1" ht="17">
      <c r="A39" s="31">
        <v>35</v>
      </c>
      <c r="B39" s="329" t="str">
        <f t="shared" si="0"/>
        <v>25ngFlpO_20ngSHRNA_-DOX_6hr</v>
      </c>
      <c r="C39" s="154">
        <v>25</v>
      </c>
      <c r="D39" s="32">
        <v>20</v>
      </c>
      <c r="E39" s="155" t="s">
        <v>214</v>
      </c>
      <c r="F39" s="32">
        <v>6</v>
      </c>
      <c r="G39" s="33">
        <v>1</v>
      </c>
      <c r="H39" s="33"/>
      <c r="I39" s="33" t="s">
        <v>459</v>
      </c>
      <c r="J39" s="33" t="s">
        <v>217</v>
      </c>
      <c r="K39" s="34" t="s">
        <v>426</v>
      </c>
      <c r="L39" s="157" t="s">
        <v>4</v>
      </c>
      <c r="M39" s="149" t="s">
        <v>607</v>
      </c>
      <c r="N39" s="166" t="s">
        <v>608</v>
      </c>
      <c r="O39" s="167" t="s">
        <v>609</v>
      </c>
      <c r="P39" s="40"/>
      <c r="Q39" s="40"/>
      <c r="R39" s="40"/>
    </row>
    <row r="40" spans="1:18" s="1" customFormat="1" ht="17">
      <c r="A40" s="31">
        <v>36</v>
      </c>
      <c r="B40" s="329" t="str">
        <f t="shared" si="0"/>
        <v>35ngFlpO_0ngSHRNA_-DOX_6hr</v>
      </c>
      <c r="C40" s="154">
        <v>35</v>
      </c>
      <c r="D40" s="32">
        <v>0</v>
      </c>
      <c r="E40" s="155" t="s">
        <v>214</v>
      </c>
      <c r="F40" s="32">
        <v>6</v>
      </c>
      <c r="G40" s="33">
        <v>1</v>
      </c>
      <c r="H40" s="33"/>
      <c r="I40" s="33" t="s">
        <v>459</v>
      </c>
      <c r="J40" s="33" t="s">
        <v>217</v>
      </c>
      <c r="K40" s="34" t="s">
        <v>427</v>
      </c>
      <c r="L40" s="157" t="s">
        <v>4</v>
      </c>
      <c r="M40" s="149" t="s">
        <v>610</v>
      </c>
      <c r="N40" s="166" t="s">
        <v>611</v>
      </c>
      <c r="O40" s="167" t="s">
        <v>612</v>
      </c>
      <c r="P40" s="40"/>
      <c r="Q40" s="40"/>
      <c r="R40" s="40"/>
    </row>
    <row r="41" spans="1:18" s="1" customFormat="1" ht="17">
      <c r="A41" s="31">
        <v>37</v>
      </c>
      <c r="B41" s="329" t="str">
        <f t="shared" si="0"/>
        <v>35ngFlpO_1ngSHRNA_-DOX_6hr</v>
      </c>
      <c r="C41" s="154">
        <v>35</v>
      </c>
      <c r="D41" s="32">
        <v>1</v>
      </c>
      <c r="E41" s="155" t="s">
        <v>214</v>
      </c>
      <c r="F41" s="32">
        <v>6</v>
      </c>
      <c r="G41" s="33">
        <v>1</v>
      </c>
      <c r="H41" s="33"/>
      <c r="I41" s="33" t="s">
        <v>459</v>
      </c>
      <c r="J41" s="33" t="s">
        <v>217</v>
      </c>
      <c r="K41" s="34" t="s">
        <v>428</v>
      </c>
      <c r="L41" s="157" t="s">
        <v>4</v>
      </c>
      <c r="M41" s="149" t="s">
        <v>613</v>
      </c>
      <c r="N41" s="166" t="s">
        <v>614</v>
      </c>
      <c r="O41" s="167" t="s">
        <v>615</v>
      </c>
      <c r="P41" s="40"/>
      <c r="Q41" s="40"/>
      <c r="R41" s="40"/>
    </row>
    <row r="42" spans="1:18" s="1" customFormat="1" ht="17">
      <c r="A42" s="31">
        <v>38</v>
      </c>
      <c r="B42" s="329" t="str">
        <f t="shared" si="0"/>
        <v>35ngFlpO_5ngSHRNA_-DOX_6hr</v>
      </c>
      <c r="C42" s="154">
        <v>35</v>
      </c>
      <c r="D42" s="32">
        <v>5</v>
      </c>
      <c r="E42" s="155" t="s">
        <v>214</v>
      </c>
      <c r="F42" s="32">
        <v>6</v>
      </c>
      <c r="G42" s="33">
        <v>1</v>
      </c>
      <c r="H42" s="33"/>
      <c r="I42" s="33" t="s">
        <v>459</v>
      </c>
      <c r="J42" s="33" t="s">
        <v>217</v>
      </c>
      <c r="K42" s="34" t="s">
        <v>429</v>
      </c>
      <c r="L42" s="157" t="s">
        <v>4</v>
      </c>
      <c r="M42" s="149" t="s">
        <v>616</v>
      </c>
      <c r="N42" s="166" t="s">
        <v>617</v>
      </c>
      <c r="O42" s="167" t="s">
        <v>618</v>
      </c>
      <c r="P42" s="40"/>
      <c r="Q42" s="40"/>
      <c r="R42" s="40"/>
    </row>
    <row r="43" spans="1:18" s="1" customFormat="1" ht="17">
      <c r="A43" s="31">
        <v>39</v>
      </c>
      <c r="B43" s="329" t="str">
        <f t="shared" si="0"/>
        <v>35ngFlpO_10ngSHRNA_-DOX_6hr</v>
      </c>
      <c r="C43" s="154">
        <v>35</v>
      </c>
      <c r="D43" s="32">
        <v>10</v>
      </c>
      <c r="E43" s="155" t="s">
        <v>214</v>
      </c>
      <c r="F43" s="32">
        <v>6</v>
      </c>
      <c r="G43" s="33">
        <v>1</v>
      </c>
      <c r="H43" s="33"/>
      <c r="I43" s="33" t="s">
        <v>459</v>
      </c>
      <c r="J43" s="33" t="s">
        <v>217</v>
      </c>
      <c r="K43" s="34" t="s">
        <v>430</v>
      </c>
      <c r="L43" s="157" t="s">
        <v>4</v>
      </c>
      <c r="M43" s="149" t="s">
        <v>619</v>
      </c>
      <c r="N43" s="166" t="s">
        <v>620</v>
      </c>
      <c r="O43" s="167" t="s">
        <v>621</v>
      </c>
      <c r="P43" s="40"/>
      <c r="Q43" s="40"/>
      <c r="R43" s="40"/>
    </row>
    <row r="44" spans="1:18" s="1" customFormat="1" ht="17">
      <c r="A44" s="31">
        <v>40</v>
      </c>
      <c r="B44" s="329" t="str">
        <f t="shared" si="0"/>
        <v>35ngFlpO_20ngSHRNA_-DOX_6hr</v>
      </c>
      <c r="C44" s="154">
        <v>35</v>
      </c>
      <c r="D44" s="32">
        <v>20</v>
      </c>
      <c r="E44" s="155" t="s">
        <v>214</v>
      </c>
      <c r="F44" s="32">
        <v>6</v>
      </c>
      <c r="G44" s="33">
        <v>1</v>
      </c>
      <c r="H44" s="33"/>
      <c r="I44" s="33" t="s">
        <v>459</v>
      </c>
      <c r="J44" s="33" t="s">
        <v>217</v>
      </c>
      <c r="K44" s="34" t="s">
        <v>431</v>
      </c>
      <c r="L44" s="157" t="s">
        <v>4</v>
      </c>
      <c r="M44" s="149" t="s">
        <v>622</v>
      </c>
      <c r="N44" s="166" t="s">
        <v>623</v>
      </c>
      <c r="O44" s="167" t="s">
        <v>624</v>
      </c>
      <c r="P44" s="40"/>
      <c r="Q44" s="40"/>
      <c r="R44" s="40"/>
    </row>
    <row r="45" spans="1:18" s="1" customFormat="1" ht="17">
      <c r="A45" s="31">
        <v>41</v>
      </c>
      <c r="B45" s="329" t="str">
        <f t="shared" si="0"/>
        <v>5ngFlpO_0ngSHRNA_+DOX_12hr</v>
      </c>
      <c r="C45" s="32">
        <v>5</v>
      </c>
      <c r="D45" s="32">
        <v>0</v>
      </c>
      <c r="E45" s="155" t="s">
        <v>213</v>
      </c>
      <c r="F45" s="32">
        <v>12</v>
      </c>
      <c r="G45" s="33">
        <v>1</v>
      </c>
      <c r="H45" s="33"/>
      <c r="I45" s="33" t="s">
        <v>460</v>
      </c>
      <c r="J45" s="33" t="s">
        <v>217</v>
      </c>
      <c r="K45" s="34" t="s">
        <v>424</v>
      </c>
      <c r="L45" s="157" t="s">
        <v>4</v>
      </c>
      <c r="M45" s="149" t="s">
        <v>625</v>
      </c>
      <c r="N45" s="166" t="s">
        <v>626</v>
      </c>
      <c r="O45" s="167" t="s">
        <v>627</v>
      </c>
      <c r="P45" s="40"/>
      <c r="Q45" s="40"/>
      <c r="R45" s="40"/>
    </row>
    <row r="46" spans="1:18" s="1" customFormat="1" ht="17">
      <c r="A46" s="31">
        <v>42</v>
      </c>
      <c r="B46" s="329" t="str">
        <f t="shared" si="0"/>
        <v>5ngFlpO_1ngSHRNA_+DOX_12hr</v>
      </c>
      <c r="C46" s="32">
        <v>5</v>
      </c>
      <c r="D46" s="32">
        <v>1</v>
      </c>
      <c r="E46" s="155" t="s">
        <v>213</v>
      </c>
      <c r="F46" s="32">
        <v>12</v>
      </c>
      <c r="G46" s="33">
        <v>1</v>
      </c>
      <c r="H46" s="33"/>
      <c r="I46" s="33" t="s">
        <v>460</v>
      </c>
      <c r="J46" s="33" t="s">
        <v>217</v>
      </c>
      <c r="K46" s="34" t="s">
        <v>425</v>
      </c>
      <c r="L46" s="157" t="s">
        <v>4</v>
      </c>
      <c r="M46" s="149" t="s">
        <v>628</v>
      </c>
      <c r="N46" s="166" t="s">
        <v>629</v>
      </c>
      <c r="O46" s="167" t="s">
        <v>630</v>
      </c>
      <c r="P46" s="40"/>
      <c r="Q46" s="40"/>
      <c r="R46" s="40"/>
    </row>
    <row r="47" spans="1:18" s="1" customFormat="1" ht="17">
      <c r="A47" s="31">
        <v>43</v>
      </c>
      <c r="B47" s="329" t="str">
        <f t="shared" si="0"/>
        <v>5ngFlpO_5ngSHRNA_+DOX_12hr</v>
      </c>
      <c r="C47" s="32">
        <v>5</v>
      </c>
      <c r="D47" s="32">
        <v>5</v>
      </c>
      <c r="E47" s="155" t="s">
        <v>213</v>
      </c>
      <c r="F47" s="32">
        <v>12</v>
      </c>
      <c r="G47" s="33">
        <v>1</v>
      </c>
      <c r="H47" s="33"/>
      <c r="I47" s="33" t="s">
        <v>460</v>
      </c>
      <c r="J47" s="33" t="s">
        <v>217</v>
      </c>
      <c r="K47" s="34" t="s">
        <v>426</v>
      </c>
      <c r="L47" s="157" t="s">
        <v>4</v>
      </c>
      <c r="M47" s="149" t="s">
        <v>631</v>
      </c>
      <c r="N47" s="166" t="s">
        <v>632</v>
      </c>
      <c r="O47" s="167" t="s">
        <v>633</v>
      </c>
      <c r="P47" s="40"/>
      <c r="Q47" s="40"/>
      <c r="R47" s="40"/>
    </row>
    <row r="48" spans="1:18" s="1" customFormat="1" ht="17">
      <c r="A48" s="31">
        <v>44</v>
      </c>
      <c r="B48" s="329" t="str">
        <f t="shared" si="0"/>
        <v>5ngFlpO_10ngSHRNA_+DOX_12hr</v>
      </c>
      <c r="C48" s="32">
        <v>5</v>
      </c>
      <c r="D48" s="32">
        <v>10</v>
      </c>
      <c r="E48" s="155" t="s">
        <v>213</v>
      </c>
      <c r="F48" s="32">
        <v>12</v>
      </c>
      <c r="G48" s="33">
        <v>1</v>
      </c>
      <c r="H48" s="33"/>
      <c r="I48" s="33" t="s">
        <v>460</v>
      </c>
      <c r="J48" s="33" t="s">
        <v>217</v>
      </c>
      <c r="K48" s="34" t="s">
        <v>427</v>
      </c>
      <c r="L48" s="157" t="s">
        <v>4</v>
      </c>
      <c r="M48" s="149" t="s">
        <v>634</v>
      </c>
      <c r="N48" s="166" t="s">
        <v>635</v>
      </c>
      <c r="O48" s="167" t="s">
        <v>636</v>
      </c>
      <c r="P48" s="40"/>
      <c r="Q48" s="40"/>
      <c r="R48" s="40"/>
    </row>
    <row r="49" spans="1:18" s="1" customFormat="1" ht="17">
      <c r="A49" s="31">
        <v>45</v>
      </c>
      <c r="B49" s="329" t="str">
        <f t="shared" si="0"/>
        <v>5ngFlpO_20ngSHRNA_+DOX_12hr</v>
      </c>
      <c r="C49" s="32">
        <v>5</v>
      </c>
      <c r="D49" s="32">
        <v>20</v>
      </c>
      <c r="E49" s="155" t="s">
        <v>213</v>
      </c>
      <c r="F49" s="32">
        <v>12</v>
      </c>
      <c r="G49" s="33">
        <v>1</v>
      </c>
      <c r="H49" s="33"/>
      <c r="I49" s="33" t="s">
        <v>460</v>
      </c>
      <c r="J49" s="33" t="s">
        <v>217</v>
      </c>
      <c r="K49" s="34" t="s">
        <v>428</v>
      </c>
      <c r="L49" s="157" t="s">
        <v>4</v>
      </c>
      <c r="M49" s="149" t="s">
        <v>637</v>
      </c>
      <c r="N49" s="166" t="s">
        <v>638</v>
      </c>
      <c r="O49" s="167" t="s">
        <v>639</v>
      </c>
      <c r="P49" s="40"/>
      <c r="Q49" s="40"/>
      <c r="R49" s="40"/>
    </row>
    <row r="50" spans="1:18" s="1" customFormat="1" ht="17">
      <c r="A50" s="31">
        <v>46</v>
      </c>
      <c r="B50" s="329" t="str">
        <f t="shared" si="0"/>
        <v>15ngFlpO_0ngSHRNA_+DOX_12hr</v>
      </c>
      <c r="C50" s="32">
        <v>15</v>
      </c>
      <c r="D50" s="32">
        <v>0</v>
      </c>
      <c r="E50" s="155" t="s">
        <v>213</v>
      </c>
      <c r="F50" s="32">
        <v>12</v>
      </c>
      <c r="G50" s="33">
        <v>1</v>
      </c>
      <c r="H50" s="33"/>
      <c r="I50" s="33" t="s">
        <v>460</v>
      </c>
      <c r="J50" s="33" t="s">
        <v>217</v>
      </c>
      <c r="K50" s="34" t="s">
        <v>429</v>
      </c>
      <c r="L50" s="157" t="s">
        <v>4</v>
      </c>
      <c r="M50" s="149" t="s">
        <v>640</v>
      </c>
      <c r="N50" s="166" t="s">
        <v>641</v>
      </c>
      <c r="O50" s="167" t="s">
        <v>642</v>
      </c>
      <c r="P50" s="40"/>
      <c r="Q50" s="40"/>
      <c r="R50" s="40"/>
    </row>
    <row r="51" spans="1:18" s="1" customFormat="1" ht="17">
      <c r="A51" s="31">
        <v>47</v>
      </c>
      <c r="B51" s="329" t="str">
        <f t="shared" si="0"/>
        <v>15ngFlpO_1ngSHRNA_+DOX_12hr</v>
      </c>
      <c r="C51" s="32">
        <v>15</v>
      </c>
      <c r="D51" s="32">
        <v>1</v>
      </c>
      <c r="E51" s="155" t="s">
        <v>213</v>
      </c>
      <c r="F51" s="32">
        <v>12</v>
      </c>
      <c r="G51" s="33">
        <v>1</v>
      </c>
      <c r="H51" s="33"/>
      <c r="I51" s="33" t="s">
        <v>460</v>
      </c>
      <c r="J51" s="33" t="s">
        <v>217</v>
      </c>
      <c r="K51" s="34" t="s">
        <v>430</v>
      </c>
      <c r="L51" s="157" t="s">
        <v>4</v>
      </c>
      <c r="M51" s="149" t="s">
        <v>643</v>
      </c>
      <c r="N51" s="166" t="s">
        <v>644</v>
      </c>
      <c r="O51" s="167" t="s">
        <v>645</v>
      </c>
      <c r="P51" s="40"/>
      <c r="Q51" s="40"/>
      <c r="R51" s="40"/>
    </row>
    <row r="52" spans="1:18" s="1" customFormat="1" ht="17">
      <c r="A52" s="31">
        <v>48</v>
      </c>
      <c r="B52" s="329" t="str">
        <f t="shared" si="0"/>
        <v>15ngFlpO_5ngSHRNA_+DOX_12hr</v>
      </c>
      <c r="C52" s="32">
        <v>15</v>
      </c>
      <c r="D52" s="32">
        <v>5</v>
      </c>
      <c r="E52" s="155" t="s">
        <v>213</v>
      </c>
      <c r="F52" s="32">
        <v>12</v>
      </c>
      <c r="G52" s="33">
        <v>1</v>
      </c>
      <c r="H52" s="33"/>
      <c r="I52" s="33" t="s">
        <v>460</v>
      </c>
      <c r="J52" s="33" t="s">
        <v>217</v>
      </c>
      <c r="K52" s="34" t="s">
        <v>431</v>
      </c>
      <c r="L52" s="157" t="s">
        <v>4</v>
      </c>
      <c r="M52" s="149" t="s">
        <v>646</v>
      </c>
      <c r="N52" s="166" t="s">
        <v>647</v>
      </c>
      <c r="O52" s="167" t="s">
        <v>648</v>
      </c>
      <c r="P52" s="40"/>
      <c r="Q52" s="40"/>
      <c r="R52" s="40"/>
    </row>
    <row r="53" spans="1:18" s="1" customFormat="1" ht="17">
      <c r="A53" s="31">
        <v>49</v>
      </c>
      <c r="B53" s="329" t="str">
        <f t="shared" si="0"/>
        <v>15ngFlpO_10ngSHRNA_+DOX_12hr</v>
      </c>
      <c r="C53" s="32">
        <v>15</v>
      </c>
      <c r="D53" s="32">
        <v>10</v>
      </c>
      <c r="E53" s="155" t="s">
        <v>213</v>
      </c>
      <c r="F53" s="32">
        <v>12</v>
      </c>
      <c r="G53" s="33">
        <v>1</v>
      </c>
      <c r="H53" s="33"/>
      <c r="I53" s="33" t="s">
        <v>460</v>
      </c>
      <c r="J53" s="33" t="s">
        <v>432</v>
      </c>
      <c r="K53" s="34" t="s">
        <v>433</v>
      </c>
      <c r="L53" s="157" t="s">
        <v>4</v>
      </c>
      <c r="M53" s="149" t="s">
        <v>649</v>
      </c>
      <c r="N53" s="166" t="s">
        <v>650</v>
      </c>
      <c r="O53" s="167" t="s">
        <v>651</v>
      </c>
      <c r="P53" s="40"/>
      <c r="Q53" s="40"/>
      <c r="R53" s="40"/>
    </row>
    <row r="54" spans="1:18" s="1" customFormat="1" ht="17">
      <c r="A54" s="31">
        <v>50</v>
      </c>
      <c r="B54" s="329" t="str">
        <f t="shared" si="0"/>
        <v>15ngFlpO_20ngSHRNA_+DOX_12hr</v>
      </c>
      <c r="C54" s="32">
        <v>15</v>
      </c>
      <c r="D54" s="32">
        <v>20</v>
      </c>
      <c r="E54" s="155" t="s">
        <v>213</v>
      </c>
      <c r="F54" s="32">
        <v>12</v>
      </c>
      <c r="G54" s="33">
        <v>1</v>
      </c>
      <c r="H54" s="33"/>
      <c r="I54" s="33" t="s">
        <v>460</v>
      </c>
      <c r="J54" s="33" t="s">
        <v>432</v>
      </c>
      <c r="K54" s="34" t="s">
        <v>434</v>
      </c>
      <c r="L54" s="157" t="s">
        <v>4</v>
      </c>
      <c r="M54" s="149" t="s">
        <v>652</v>
      </c>
      <c r="N54" s="166" t="s">
        <v>653</v>
      </c>
      <c r="O54" s="167" t="s">
        <v>654</v>
      </c>
      <c r="P54" s="40"/>
      <c r="Q54" s="40"/>
      <c r="R54" s="40"/>
    </row>
    <row r="55" spans="1:18" s="1" customFormat="1" ht="17">
      <c r="A55" s="31">
        <v>51</v>
      </c>
      <c r="B55" s="329" t="str">
        <f t="shared" si="0"/>
        <v>25ngFlpO_0ngSHRNA_+DOX_12hr</v>
      </c>
      <c r="C55" s="32">
        <v>25</v>
      </c>
      <c r="D55" s="32">
        <v>0</v>
      </c>
      <c r="E55" s="155" t="s">
        <v>213</v>
      </c>
      <c r="F55" s="32">
        <v>12</v>
      </c>
      <c r="G55" s="33">
        <v>1</v>
      </c>
      <c r="H55" s="33"/>
      <c r="I55" s="33" t="s">
        <v>460</v>
      </c>
      <c r="J55" s="33" t="s">
        <v>432</v>
      </c>
      <c r="K55" s="34" t="s">
        <v>435</v>
      </c>
      <c r="L55" s="157" t="s">
        <v>4</v>
      </c>
      <c r="M55" s="149" t="s">
        <v>655</v>
      </c>
      <c r="N55" s="166" t="s">
        <v>656</v>
      </c>
      <c r="O55" s="167" t="s">
        <v>657</v>
      </c>
      <c r="P55" s="40"/>
      <c r="Q55" s="40"/>
      <c r="R55" s="40"/>
    </row>
    <row r="56" spans="1:18" s="1" customFormat="1" ht="17">
      <c r="A56" s="31">
        <v>52</v>
      </c>
      <c r="B56" s="329" t="str">
        <f t="shared" si="0"/>
        <v>25ngFlpO_1ngSHRNA_+DOX_12hr</v>
      </c>
      <c r="C56" s="32">
        <v>25</v>
      </c>
      <c r="D56" s="32">
        <v>1</v>
      </c>
      <c r="E56" s="155" t="s">
        <v>213</v>
      </c>
      <c r="F56" s="32">
        <v>12</v>
      </c>
      <c r="G56" s="33">
        <v>1</v>
      </c>
      <c r="H56" s="33"/>
      <c r="I56" s="33" t="s">
        <v>460</v>
      </c>
      <c r="J56" s="33" t="s">
        <v>432</v>
      </c>
      <c r="K56" s="34" t="s">
        <v>436</v>
      </c>
      <c r="L56" s="157" t="s">
        <v>4</v>
      </c>
      <c r="M56" s="149" t="s">
        <v>658</v>
      </c>
      <c r="N56" s="166" t="s">
        <v>659</v>
      </c>
      <c r="O56" s="167" t="s">
        <v>660</v>
      </c>
      <c r="P56" s="40"/>
      <c r="Q56" s="40"/>
      <c r="R56" s="40"/>
    </row>
    <row r="57" spans="1:18" s="1" customFormat="1" ht="17">
      <c r="A57" s="31">
        <v>53</v>
      </c>
      <c r="B57" s="329" t="str">
        <f t="shared" si="0"/>
        <v>25ngFlpO_5ngSHRNA_+DOX_12hr</v>
      </c>
      <c r="C57" s="32">
        <v>25</v>
      </c>
      <c r="D57" s="32">
        <v>5</v>
      </c>
      <c r="E57" s="155" t="s">
        <v>213</v>
      </c>
      <c r="F57" s="32">
        <v>12</v>
      </c>
      <c r="G57" s="33">
        <v>1</v>
      </c>
      <c r="H57" s="33"/>
      <c r="I57" s="33" t="s">
        <v>460</v>
      </c>
      <c r="J57" s="33" t="s">
        <v>432</v>
      </c>
      <c r="K57" s="34" t="s">
        <v>437</v>
      </c>
      <c r="L57" s="157" t="s">
        <v>4</v>
      </c>
      <c r="M57" s="149" t="s">
        <v>661</v>
      </c>
      <c r="N57" s="166" t="s">
        <v>662</v>
      </c>
      <c r="O57" s="167" t="s">
        <v>663</v>
      </c>
      <c r="P57" s="40"/>
      <c r="Q57" s="40"/>
      <c r="R57" s="40"/>
    </row>
    <row r="58" spans="1:18" s="1" customFormat="1" ht="17">
      <c r="A58" s="31">
        <v>54</v>
      </c>
      <c r="B58" s="329" t="str">
        <f t="shared" si="0"/>
        <v>25ngFlpO_10ngSHRNA_+DOX_12hr</v>
      </c>
      <c r="C58" s="32">
        <v>25</v>
      </c>
      <c r="D58" s="32">
        <v>10</v>
      </c>
      <c r="E58" s="155" t="s">
        <v>213</v>
      </c>
      <c r="F58" s="32">
        <v>12</v>
      </c>
      <c r="G58" s="33">
        <v>1</v>
      </c>
      <c r="H58" s="33"/>
      <c r="I58" s="33" t="s">
        <v>460</v>
      </c>
      <c r="J58" s="33" t="s">
        <v>432</v>
      </c>
      <c r="K58" s="34" t="s">
        <v>438</v>
      </c>
      <c r="L58" s="157" t="s">
        <v>4</v>
      </c>
      <c r="M58" s="149" t="s">
        <v>664</v>
      </c>
      <c r="N58" s="166" t="s">
        <v>665</v>
      </c>
      <c r="O58" s="167" t="s">
        <v>666</v>
      </c>
      <c r="P58" s="40"/>
      <c r="Q58" s="40"/>
      <c r="R58" s="40"/>
    </row>
    <row r="59" spans="1:18" s="1" customFormat="1" ht="17">
      <c r="A59" s="31">
        <v>55</v>
      </c>
      <c r="B59" s="329" t="str">
        <f t="shared" si="0"/>
        <v>25ngFlpO_20ngSHRNA_+DOX_12hr</v>
      </c>
      <c r="C59" s="32">
        <v>25</v>
      </c>
      <c r="D59" s="32">
        <v>20</v>
      </c>
      <c r="E59" s="155" t="s">
        <v>213</v>
      </c>
      <c r="F59" s="32">
        <v>12</v>
      </c>
      <c r="G59" s="33">
        <v>1</v>
      </c>
      <c r="H59" s="33"/>
      <c r="I59" s="33" t="s">
        <v>460</v>
      </c>
      <c r="J59" s="33" t="s">
        <v>432</v>
      </c>
      <c r="K59" s="34" t="s">
        <v>439</v>
      </c>
      <c r="L59" s="157" t="s">
        <v>4</v>
      </c>
      <c r="M59" s="149" t="s">
        <v>667</v>
      </c>
      <c r="N59" s="166" t="s">
        <v>668</v>
      </c>
      <c r="O59" s="167" t="s">
        <v>669</v>
      </c>
      <c r="P59" s="40"/>
      <c r="Q59" s="40"/>
      <c r="R59" s="40"/>
    </row>
    <row r="60" spans="1:18" s="1" customFormat="1" ht="17">
      <c r="A60" s="31">
        <v>56</v>
      </c>
      <c r="B60" s="329" t="str">
        <f t="shared" si="0"/>
        <v>35ngFlpO_0ngSHRNA_+DOX_12hr</v>
      </c>
      <c r="C60" s="32">
        <v>35</v>
      </c>
      <c r="D60" s="32">
        <v>0</v>
      </c>
      <c r="E60" s="155" t="s">
        <v>213</v>
      </c>
      <c r="F60" s="32">
        <v>12</v>
      </c>
      <c r="G60" s="33">
        <v>1</v>
      </c>
      <c r="H60" s="33"/>
      <c r="I60" s="33" t="s">
        <v>460</v>
      </c>
      <c r="J60" s="33" t="s">
        <v>432</v>
      </c>
      <c r="K60" s="34" t="s">
        <v>440</v>
      </c>
      <c r="L60" s="157" t="s">
        <v>4</v>
      </c>
      <c r="M60" s="149" t="s">
        <v>670</v>
      </c>
      <c r="N60" s="166" t="s">
        <v>671</v>
      </c>
      <c r="O60" s="167" t="s">
        <v>672</v>
      </c>
      <c r="P60" s="40"/>
      <c r="Q60" s="40"/>
      <c r="R60" s="40"/>
    </row>
    <row r="61" spans="1:18" s="1" customFormat="1" ht="17">
      <c r="A61" s="31">
        <v>57</v>
      </c>
      <c r="B61" s="329" t="str">
        <f t="shared" si="0"/>
        <v>35ngFlpO_1ngSHRNA_+DOX_12hr</v>
      </c>
      <c r="C61" s="32">
        <v>35</v>
      </c>
      <c r="D61" s="32">
        <v>1</v>
      </c>
      <c r="E61" s="155" t="s">
        <v>213</v>
      </c>
      <c r="F61" s="32">
        <v>12</v>
      </c>
      <c r="G61" s="33">
        <v>1</v>
      </c>
      <c r="H61" s="33"/>
      <c r="I61" s="33" t="s">
        <v>460</v>
      </c>
      <c r="J61" s="33" t="s">
        <v>441</v>
      </c>
      <c r="K61" s="34" t="s">
        <v>442</v>
      </c>
      <c r="L61" s="157" t="s">
        <v>4</v>
      </c>
      <c r="M61" s="149" t="s">
        <v>673</v>
      </c>
      <c r="N61" s="166" t="s">
        <v>674</v>
      </c>
      <c r="O61" s="167" t="s">
        <v>675</v>
      </c>
      <c r="P61" s="40"/>
      <c r="Q61" s="40"/>
      <c r="R61" s="40"/>
    </row>
    <row r="62" spans="1:18" s="1" customFormat="1" ht="17">
      <c r="A62" s="31">
        <v>58</v>
      </c>
      <c r="B62" s="329" t="str">
        <f t="shared" si="0"/>
        <v>35ngFlpO_5ngSHRNA_+DOX_12hr</v>
      </c>
      <c r="C62" s="32">
        <v>35</v>
      </c>
      <c r="D62" s="32">
        <v>5</v>
      </c>
      <c r="E62" s="155" t="s">
        <v>213</v>
      </c>
      <c r="F62" s="32">
        <v>12</v>
      </c>
      <c r="G62" s="33">
        <v>1</v>
      </c>
      <c r="H62" s="33"/>
      <c r="I62" s="33" t="s">
        <v>460</v>
      </c>
      <c r="J62" s="33" t="s">
        <v>441</v>
      </c>
      <c r="K62" s="34" t="s">
        <v>443</v>
      </c>
      <c r="L62" s="157" t="s">
        <v>4</v>
      </c>
      <c r="M62" s="149" t="s">
        <v>676</v>
      </c>
      <c r="N62" s="166" t="s">
        <v>677</v>
      </c>
      <c r="O62" s="167" t="s">
        <v>678</v>
      </c>
      <c r="P62" s="40"/>
      <c r="Q62" s="40"/>
      <c r="R62" s="40"/>
    </row>
    <row r="63" spans="1:18" s="1" customFormat="1" ht="17">
      <c r="A63" s="31">
        <v>59</v>
      </c>
      <c r="B63" s="329" t="str">
        <f t="shared" si="0"/>
        <v>35ngFlpO_10ngSHRNA_+DOX_12hr</v>
      </c>
      <c r="C63" s="32">
        <v>35</v>
      </c>
      <c r="D63" s="32">
        <v>10</v>
      </c>
      <c r="E63" s="155" t="s">
        <v>213</v>
      </c>
      <c r="F63" s="32">
        <v>12</v>
      </c>
      <c r="G63" s="33">
        <v>1</v>
      </c>
      <c r="H63" s="33"/>
      <c r="I63" s="33" t="s">
        <v>460</v>
      </c>
      <c r="J63" s="33" t="s">
        <v>441</v>
      </c>
      <c r="K63" s="34" t="s">
        <v>444</v>
      </c>
      <c r="L63" s="157" t="s">
        <v>4</v>
      </c>
      <c r="M63" s="149" t="s">
        <v>679</v>
      </c>
      <c r="N63" s="166" t="s">
        <v>680</v>
      </c>
      <c r="O63" s="167" t="s">
        <v>681</v>
      </c>
      <c r="P63" s="40"/>
      <c r="Q63" s="40"/>
      <c r="R63" s="40"/>
    </row>
    <row r="64" spans="1:18" s="1" customFormat="1" ht="17">
      <c r="A64" s="31">
        <v>60</v>
      </c>
      <c r="B64" s="329" t="str">
        <f t="shared" si="0"/>
        <v>35ngFlpO_20ngSHRNA_+DOX_12hr</v>
      </c>
      <c r="C64" s="32">
        <v>35</v>
      </c>
      <c r="D64" s="32">
        <v>20</v>
      </c>
      <c r="E64" s="155" t="s">
        <v>213</v>
      </c>
      <c r="F64" s="32">
        <v>12</v>
      </c>
      <c r="G64" s="33">
        <v>1</v>
      </c>
      <c r="H64" s="33"/>
      <c r="I64" s="33" t="s">
        <v>460</v>
      </c>
      <c r="J64" s="33" t="s">
        <v>441</v>
      </c>
      <c r="K64" s="34" t="s">
        <v>445</v>
      </c>
      <c r="L64" s="157" t="s">
        <v>4</v>
      </c>
      <c r="M64" s="149" t="s">
        <v>682</v>
      </c>
      <c r="N64" s="166" t="s">
        <v>683</v>
      </c>
      <c r="O64" s="167" t="s">
        <v>684</v>
      </c>
      <c r="P64" s="40"/>
      <c r="Q64" s="40"/>
      <c r="R64" s="40"/>
    </row>
    <row r="65" spans="1:18" s="1" customFormat="1" ht="17">
      <c r="A65" s="31">
        <v>61</v>
      </c>
      <c r="B65" s="329" t="str">
        <f t="shared" si="0"/>
        <v>5ngFlpO_0ngSHRNA_-DOX_12hr</v>
      </c>
      <c r="C65" s="32">
        <v>5</v>
      </c>
      <c r="D65" s="32">
        <v>0</v>
      </c>
      <c r="E65" s="155" t="s">
        <v>214</v>
      </c>
      <c r="F65" s="32">
        <v>12</v>
      </c>
      <c r="G65" s="33">
        <v>1</v>
      </c>
      <c r="H65" s="33"/>
      <c r="I65" s="33" t="s">
        <v>460</v>
      </c>
      <c r="J65" s="33" t="s">
        <v>441</v>
      </c>
      <c r="K65" s="34" t="s">
        <v>446</v>
      </c>
      <c r="L65" s="157" t="s">
        <v>4</v>
      </c>
      <c r="M65" s="149" t="s">
        <v>685</v>
      </c>
      <c r="N65" s="166" t="s">
        <v>686</v>
      </c>
      <c r="O65" s="167" t="s">
        <v>687</v>
      </c>
      <c r="P65" s="40"/>
      <c r="Q65" s="40"/>
      <c r="R65" s="40"/>
    </row>
    <row r="66" spans="1:18" s="1" customFormat="1" ht="17">
      <c r="A66" s="31">
        <v>62</v>
      </c>
      <c r="B66" s="329" t="str">
        <f t="shared" si="0"/>
        <v>5ngFlpO_1ngSHRNA_-DOX_12hr</v>
      </c>
      <c r="C66" s="32">
        <v>5</v>
      </c>
      <c r="D66" s="32">
        <v>1</v>
      </c>
      <c r="E66" s="155" t="s">
        <v>214</v>
      </c>
      <c r="F66" s="32">
        <v>12</v>
      </c>
      <c r="G66" s="33">
        <v>1</v>
      </c>
      <c r="H66" s="33"/>
      <c r="I66" s="33" t="s">
        <v>460</v>
      </c>
      <c r="J66" s="33" t="s">
        <v>441</v>
      </c>
      <c r="K66" s="34" t="s">
        <v>447</v>
      </c>
      <c r="L66" s="157" t="s">
        <v>4</v>
      </c>
      <c r="M66" s="149" t="s">
        <v>688</v>
      </c>
      <c r="N66" s="166" t="s">
        <v>689</v>
      </c>
      <c r="O66" s="167" t="s">
        <v>690</v>
      </c>
      <c r="P66" s="40"/>
      <c r="Q66" s="40"/>
      <c r="R66" s="40"/>
    </row>
    <row r="67" spans="1:18" s="1" customFormat="1" ht="17">
      <c r="A67" s="31">
        <v>63</v>
      </c>
      <c r="B67" s="329" t="str">
        <f t="shared" si="0"/>
        <v>5ngFlpO_5ngSHRNA_-DOX_12hr</v>
      </c>
      <c r="C67" s="32">
        <v>5</v>
      </c>
      <c r="D67" s="32">
        <v>5</v>
      </c>
      <c r="E67" s="155" t="s">
        <v>214</v>
      </c>
      <c r="F67" s="32">
        <v>12</v>
      </c>
      <c r="G67" s="33">
        <v>1</v>
      </c>
      <c r="H67" s="33"/>
      <c r="I67" s="33" t="s">
        <v>460</v>
      </c>
      <c r="J67" s="33" t="s">
        <v>441</v>
      </c>
      <c r="K67" s="34" t="s">
        <v>448</v>
      </c>
      <c r="L67" s="157" t="s">
        <v>4</v>
      </c>
      <c r="M67" s="149" t="s">
        <v>691</v>
      </c>
      <c r="N67" s="166" t="s">
        <v>692</v>
      </c>
      <c r="O67" s="167" t="s">
        <v>693</v>
      </c>
      <c r="P67" s="40"/>
      <c r="Q67" s="40"/>
      <c r="R67" s="40"/>
    </row>
    <row r="68" spans="1:18" s="1" customFormat="1" ht="17">
      <c r="A68" s="31">
        <v>64</v>
      </c>
      <c r="B68" s="329" t="str">
        <f t="shared" si="0"/>
        <v>5ngFlpO_10ngSHRNA_-DOX_12hr</v>
      </c>
      <c r="C68" s="32">
        <v>5</v>
      </c>
      <c r="D68" s="32">
        <v>10</v>
      </c>
      <c r="E68" s="155" t="s">
        <v>214</v>
      </c>
      <c r="F68" s="32">
        <v>12</v>
      </c>
      <c r="G68" s="33">
        <v>1</v>
      </c>
      <c r="H68" s="33"/>
      <c r="I68" s="33" t="s">
        <v>460</v>
      </c>
      <c r="J68" s="33" t="s">
        <v>441</v>
      </c>
      <c r="K68" s="34" t="s">
        <v>449</v>
      </c>
      <c r="L68" s="157" t="s">
        <v>4</v>
      </c>
      <c r="M68" s="149" t="s">
        <v>694</v>
      </c>
      <c r="N68" s="166" t="s">
        <v>695</v>
      </c>
      <c r="O68" s="167" t="s">
        <v>696</v>
      </c>
      <c r="P68" s="40"/>
      <c r="Q68" s="40"/>
      <c r="R68" s="40"/>
    </row>
    <row r="69" spans="1:18" s="1" customFormat="1" ht="17">
      <c r="A69" s="31">
        <v>65</v>
      </c>
      <c r="B69" s="329" t="str">
        <f t="shared" si="0"/>
        <v>5ngFlpO_20ngSHRNA_-DOX_12hr</v>
      </c>
      <c r="C69" s="32">
        <v>5</v>
      </c>
      <c r="D69" s="32">
        <v>20</v>
      </c>
      <c r="E69" s="155" t="s">
        <v>214</v>
      </c>
      <c r="F69" s="32">
        <v>12</v>
      </c>
      <c r="G69" s="33">
        <v>1</v>
      </c>
      <c r="H69" s="33"/>
      <c r="I69" s="33" t="s">
        <v>460</v>
      </c>
      <c r="J69" s="33" t="s">
        <v>450</v>
      </c>
      <c r="K69" s="34" t="s">
        <v>451</v>
      </c>
      <c r="L69" s="157" t="s">
        <v>4</v>
      </c>
      <c r="M69" s="149" t="s">
        <v>697</v>
      </c>
      <c r="N69" s="166" t="s">
        <v>698</v>
      </c>
      <c r="O69" s="167" t="s">
        <v>699</v>
      </c>
      <c r="P69" s="40"/>
      <c r="Q69" s="40"/>
      <c r="R69" s="40"/>
    </row>
    <row r="70" spans="1:18" s="1" customFormat="1" ht="17">
      <c r="A70" s="31">
        <v>66</v>
      </c>
      <c r="B70" s="329" t="str">
        <f t="shared" ref="B70:B124" si="1">CONCATENATE(C70,"ngFlpO_",D70,"ngSHRNA_",E70,"DOX_",F70,"hr")</f>
        <v>15ngFlpO_0ngSHRNA_-DOX_12hr</v>
      </c>
      <c r="C70" s="32">
        <v>15</v>
      </c>
      <c r="D70" s="32">
        <v>0</v>
      </c>
      <c r="E70" s="155" t="s">
        <v>214</v>
      </c>
      <c r="F70" s="32">
        <v>12</v>
      </c>
      <c r="G70" s="33">
        <v>1</v>
      </c>
      <c r="H70" s="33"/>
      <c r="I70" s="33" t="s">
        <v>460</v>
      </c>
      <c r="J70" s="33" t="s">
        <v>450</v>
      </c>
      <c r="K70" s="34" t="s">
        <v>452</v>
      </c>
      <c r="L70" s="157" t="s">
        <v>4</v>
      </c>
      <c r="M70" s="149" t="s">
        <v>700</v>
      </c>
      <c r="N70" s="166" t="s">
        <v>701</v>
      </c>
      <c r="O70" s="167" t="s">
        <v>702</v>
      </c>
      <c r="P70" s="40"/>
      <c r="Q70" s="40"/>
      <c r="R70" s="40"/>
    </row>
    <row r="71" spans="1:18" s="1" customFormat="1" ht="17">
      <c r="A71" s="31">
        <v>67</v>
      </c>
      <c r="B71" s="329" t="str">
        <f t="shared" si="1"/>
        <v>15ngFlpO_1ngSHRNA_-DOX_12hr</v>
      </c>
      <c r="C71" s="32">
        <v>15</v>
      </c>
      <c r="D71" s="32">
        <v>1</v>
      </c>
      <c r="E71" s="155" t="s">
        <v>214</v>
      </c>
      <c r="F71" s="32">
        <v>12</v>
      </c>
      <c r="G71" s="33">
        <v>1</v>
      </c>
      <c r="H71" s="33"/>
      <c r="I71" s="33" t="s">
        <v>460</v>
      </c>
      <c r="J71" s="33" t="s">
        <v>450</v>
      </c>
      <c r="K71" s="34" t="s">
        <v>453</v>
      </c>
      <c r="L71" s="157" t="s">
        <v>4</v>
      </c>
      <c r="M71" s="149" t="s">
        <v>703</v>
      </c>
      <c r="N71" s="166" t="s">
        <v>704</v>
      </c>
      <c r="O71" s="167" t="s">
        <v>705</v>
      </c>
      <c r="P71" s="40"/>
      <c r="Q71" s="40"/>
      <c r="R71" s="40"/>
    </row>
    <row r="72" spans="1:18" s="1" customFormat="1" ht="17">
      <c r="A72" s="31">
        <v>68</v>
      </c>
      <c r="B72" s="329" t="str">
        <f t="shared" si="1"/>
        <v>15ngFlpO_5ngSHRNA_-DOX_12hr</v>
      </c>
      <c r="C72" s="32">
        <v>15</v>
      </c>
      <c r="D72" s="32">
        <v>5</v>
      </c>
      <c r="E72" s="155" t="s">
        <v>214</v>
      </c>
      <c r="F72" s="32">
        <v>12</v>
      </c>
      <c r="G72" s="33">
        <v>1</v>
      </c>
      <c r="H72" s="33"/>
      <c r="I72" s="33" t="s">
        <v>460</v>
      </c>
      <c r="J72" s="33" t="s">
        <v>450</v>
      </c>
      <c r="K72" s="34" t="s">
        <v>454</v>
      </c>
      <c r="L72" s="157" t="s">
        <v>4</v>
      </c>
      <c r="M72" s="149" t="s">
        <v>706</v>
      </c>
      <c r="N72" s="166" t="s">
        <v>707</v>
      </c>
      <c r="O72" s="167" t="s">
        <v>708</v>
      </c>
      <c r="P72" s="40"/>
      <c r="Q72" s="40"/>
      <c r="R72" s="40"/>
    </row>
    <row r="73" spans="1:18" s="1" customFormat="1" ht="17">
      <c r="A73" s="31">
        <v>69</v>
      </c>
      <c r="B73" s="329" t="str">
        <f t="shared" si="1"/>
        <v>15ngFlpO_10ngSHRNA_-DOX_12hr</v>
      </c>
      <c r="C73" s="32">
        <v>15</v>
      </c>
      <c r="D73" s="32">
        <v>10</v>
      </c>
      <c r="E73" s="155" t="s">
        <v>214</v>
      </c>
      <c r="F73" s="32">
        <v>12</v>
      </c>
      <c r="G73" s="33">
        <v>1</v>
      </c>
      <c r="H73" s="33"/>
      <c r="I73" s="33" t="s">
        <v>460</v>
      </c>
      <c r="J73" s="33" t="s">
        <v>450</v>
      </c>
      <c r="K73" s="34" t="s">
        <v>455</v>
      </c>
      <c r="L73" s="157" t="s">
        <v>4</v>
      </c>
      <c r="M73" s="149" t="s">
        <v>709</v>
      </c>
      <c r="N73" s="166" t="s">
        <v>710</v>
      </c>
      <c r="O73" s="167" t="s">
        <v>711</v>
      </c>
      <c r="P73" s="40"/>
      <c r="Q73" s="40"/>
      <c r="R73" s="40"/>
    </row>
    <row r="74" spans="1:18" s="1" customFormat="1" ht="17">
      <c r="A74" s="31">
        <v>70</v>
      </c>
      <c r="B74" s="329" t="str">
        <f t="shared" si="1"/>
        <v>15ngFlpO_20ngSHRNA_-DOX_12hr</v>
      </c>
      <c r="C74" s="32">
        <v>15</v>
      </c>
      <c r="D74" s="32">
        <v>20</v>
      </c>
      <c r="E74" s="155" t="s">
        <v>214</v>
      </c>
      <c r="F74" s="32">
        <v>12</v>
      </c>
      <c r="G74" s="33">
        <v>1</v>
      </c>
      <c r="H74" s="33"/>
      <c r="I74" s="33" t="s">
        <v>460</v>
      </c>
      <c r="J74" s="33" t="s">
        <v>450</v>
      </c>
      <c r="K74" s="34" t="s">
        <v>456</v>
      </c>
      <c r="L74" s="157" t="s">
        <v>4</v>
      </c>
      <c r="M74" s="149" t="s">
        <v>712</v>
      </c>
      <c r="N74" s="166" t="s">
        <v>713</v>
      </c>
      <c r="O74" s="167" t="s">
        <v>714</v>
      </c>
      <c r="P74" s="40"/>
      <c r="Q74" s="40"/>
      <c r="R74" s="40"/>
    </row>
    <row r="75" spans="1:18" s="1" customFormat="1" ht="17">
      <c r="A75" s="31">
        <v>71</v>
      </c>
      <c r="B75" s="329" t="str">
        <f t="shared" si="1"/>
        <v>25ngFlpO_0ngSHRNA_-DOX_12hr</v>
      </c>
      <c r="C75" s="32">
        <v>25</v>
      </c>
      <c r="D75" s="32">
        <v>0</v>
      </c>
      <c r="E75" s="155" t="s">
        <v>214</v>
      </c>
      <c r="F75" s="32">
        <v>12</v>
      </c>
      <c r="G75" s="33">
        <v>1</v>
      </c>
      <c r="H75" s="33"/>
      <c r="I75" s="33" t="s">
        <v>460</v>
      </c>
      <c r="J75" s="33" t="s">
        <v>450</v>
      </c>
      <c r="K75" s="34" t="s">
        <v>457</v>
      </c>
      <c r="L75" s="157" t="s">
        <v>4</v>
      </c>
      <c r="M75" s="149" t="s">
        <v>715</v>
      </c>
      <c r="N75" s="166" t="s">
        <v>716</v>
      </c>
      <c r="O75" s="167" t="s">
        <v>717</v>
      </c>
      <c r="P75" s="40"/>
      <c r="Q75" s="40"/>
      <c r="R75" s="40"/>
    </row>
    <row r="76" spans="1:18" s="1" customFormat="1" ht="17">
      <c r="A76" s="31">
        <v>72</v>
      </c>
      <c r="B76" s="329" t="str">
        <f t="shared" si="1"/>
        <v>25ngFlpO_1ngSHRNA_-DOX_12hr</v>
      </c>
      <c r="C76" s="32">
        <v>25</v>
      </c>
      <c r="D76" s="32">
        <v>1</v>
      </c>
      <c r="E76" s="155" t="s">
        <v>214</v>
      </c>
      <c r="F76" s="32">
        <v>12</v>
      </c>
      <c r="G76" s="33">
        <v>1</v>
      </c>
      <c r="H76" s="33"/>
      <c r="I76" s="33" t="s">
        <v>460</v>
      </c>
      <c r="J76" s="33" t="s">
        <v>450</v>
      </c>
      <c r="K76" s="34" t="s">
        <v>458</v>
      </c>
      <c r="L76" s="157" t="s">
        <v>4</v>
      </c>
      <c r="M76" s="149" t="s">
        <v>718</v>
      </c>
      <c r="N76" s="166" t="s">
        <v>719</v>
      </c>
      <c r="O76" s="167" t="s">
        <v>720</v>
      </c>
      <c r="P76" s="40"/>
      <c r="Q76" s="40"/>
      <c r="R76" s="40"/>
    </row>
    <row r="77" spans="1:18" s="1" customFormat="1" ht="17">
      <c r="A77" s="31">
        <v>73</v>
      </c>
      <c r="B77" s="329" t="str">
        <f t="shared" si="1"/>
        <v>25ngFlpO_5ngSHRNA_-DOX_12hr</v>
      </c>
      <c r="C77" s="32">
        <v>25</v>
      </c>
      <c r="D77" s="32">
        <v>5</v>
      </c>
      <c r="E77" s="155" t="s">
        <v>214</v>
      </c>
      <c r="F77" s="32">
        <v>12</v>
      </c>
      <c r="G77" s="33">
        <v>1</v>
      </c>
      <c r="H77" s="33"/>
      <c r="I77" s="33" t="s">
        <v>461</v>
      </c>
      <c r="J77" s="33" t="s">
        <v>217</v>
      </c>
      <c r="K77" s="34" t="s">
        <v>424</v>
      </c>
      <c r="L77" s="157" t="s">
        <v>4</v>
      </c>
      <c r="M77" s="149" t="s">
        <v>721</v>
      </c>
      <c r="N77" s="166" t="s">
        <v>722</v>
      </c>
      <c r="O77" s="167" t="s">
        <v>723</v>
      </c>
      <c r="P77" s="40"/>
      <c r="Q77" s="40"/>
      <c r="R77" s="40"/>
    </row>
    <row r="78" spans="1:18" s="1" customFormat="1" ht="17">
      <c r="A78" s="31">
        <v>74</v>
      </c>
      <c r="B78" s="329" t="str">
        <f t="shared" si="1"/>
        <v>25ngFlpO_10ngSHRNA_-DOX_12hr</v>
      </c>
      <c r="C78" s="32">
        <v>25</v>
      </c>
      <c r="D78" s="32">
        <v>10</v>
      </c>
      <c r="E78" s="155" t="s">
        <v>214</v>
      </c>
      <c r="F78" s="32">
        <v>12</v>
      </c>
      <c r="G78" s="33">
        <v>1</v>
      </c>
      <c r="H78" s="33"/>
      <c r="I78" s="33" t="s">
        <v>461</v>
      </c>
      <c r="J78" s="33" t="s">
        <v>217</v>
      </c>
      <c r="K78" s="34" t="s">
        <v>425</v>
      </c>
      <c r="L78" s="157" t="s">
        <v>4</v>
      </c>
      <c r="M78" s="149" t="s">
        <v>724</v>
      </c>
      <c r="N78" s="166" t="s">
        <v>725</v>
      </c>
      <c r="O78" s="167" t="s">
        <v>726</v>
      </c>
      <c r="P78" s="40"/>
      <c r="Q78" s="40"/>
      <c r="R78" s="40"/>
    </row>
    <row r="79" spans="1:18" s="1" customFormat="1" ht="17">
      <c r="A79" s="31">
        <v>75</v>
      </c>
      <c r="B79" s="329" t="str">
        <f t="shared" si="1"/>
        <v>25ngFlpO_20ngSHRNA_-DOX_12hr</v>
      </c>
      <c r="C79" s="32">
        <v>25</v>
      </c>
      <c r="D79" s="32">
        <v>20</v>
      </c>
      <c r="E79" s="155" t="s">
        <v>214</v>
      </c>
      <c r="F79" s="32">
        <v>12</v>
      </c>
      <c r="G79" s="33">
        <v>1</v>
      </c>
      <c r="H79" s="33"/>
      <c r="I79" s="33" t="s">
        <v>461</v>
      </c>
      <c r="J79" s="33" t="s">
        <v>217</v>
      </c>
      <c r="K79" s="34" t="s">
        <v>426</v>
      </c>
      <c r="L79" s="157" t="s">
        <v>4</v>
      </c>
      <c r="M79" s="149" t="s">
        <v>727</v>
      </c>
      <c r="N79" s="166" t="s">
        <v>728</v>
      </c>
      <c r="O79" s="167" t="s">
        <v>729</v>
      </c>
      <c r="P79" s="40"/>
      <c r="Q79" s="40"/>
      <c r="R79" s="40"/>
    </row>
    <row r="80" spans="1:18" s="1" customFormat="1" ht="17">
      <c r="A80" s="31">
        <v>76</v>
      </c>
      <c r="B80" s="329" t="str">
        <f t="shared" si="1"/>
        <v>35ngFlpO_0ngSHRNA_-DOX_12hr</v>
      </c>
      <c r="C80" s="32">
        <v>35</v>
      </c>
      <c r="D80" s="32">
        <v>0</v>
      </c>
      <c r="E80" s="155" t="s">
        <v>214</v>
      </c>
      <c r="F80" s="32">
        <v>12</v>
      </c>
      <c r="G80" s="33">
        <v>1</v>
      </c>
      <c r="H80" s="33"/>
      <c r="I80" s="33" t="s">
        <v>461</v>
      </c>
      <c r="J80" s="33" t="s">
        <v>217</v>
      </c>
      <c r="K80" s="34" t="s">
        <v>427</v>
      </c>
      <c r="L80" s="157" t="s">
        <v>4</v>
      </c>
      <c r="M80" s="149" t="s">
        <v>730</v>
      </c>
      <c r="N80" s="166" t="s">
        <v>731</v>
      </c>
      <c r="O80" s="167" t="s">
        <v>732</v>
      </c>
      <c r="P80" s="40"/>
      <c r="Q80" s="40"/>
      <c r="R80" s="40"/>
    </row>
    <row r="81" spans="1:18" s="1" customFormat="1" ht="17">
      <c r="A81" s="31">
        <v>77</v>
      </c>
      <c r="B81" s="329" t="str">
        <f t="shared" si="1"/>
        <v>35ngFlpO_1ngSHRNA_-DOX_12hr</v>
      </c>
      <c r="C81" s="32">
        <v>35</v>
      </c>
      <c r="D81" s="32">
        <v>1</v>
      </c>
      <c r="E81" s="155" t="s">
        <v>214</v>
      </c>
      <c r="F81" s="32">
        <v>12</v>
      </c>
      <c r="G81" s="33">
        <v>1</v>
      </c>
      <c r="H81" s="33"/>
      <c r="I81" s="33" t="s">
        <v>461</v>
      </c>
      <c r="J81" s="33" t="s">
        <v>217</v>
      </c>
      <c r="K81" s="34" t="s">
        <v>428</v>
      </c>
      <c r="L81" s="157" t="s">
        <v>4</v>
      </c>
      <c r="M81" s="149" t="s">
        <v>733</v>
      </c>
      <c r="N81" s="166" t="s">
        <v>734</v>
      </c>
      <c r="O81" s="167" t="s">
        <v>735</v>
      </c>
      <c r="P81" s="40"/>
      <c r="Q81" s="40"/>
      <c r="R81" s="40"/>
    </row>
    <row r="82" spans="1:18" s="1" customFormat="1" ht="17">
      <c r="A82" s="31">
        <v>78</v>
      </c>
      <c r="B82" s="329" t="str">
        <f t="shared" si="1"/>
        <v>35ngFlpO_5ngSHRNA_-DOX_12hr</v>
      </c>
      <c r="C82" s="32">
        <v>35</v>
      </c>
      <c r="D82" s="32">
        <v>5</v>
      </c>
      <c r="E82" s="155" t="s">
        <v>214</v>
      </c>
      <c r="F82" s="32">
        <v>12</v>
      </c>
      <c r="G82" s="33">
        <v>1</v>
      </c>
      <c r="H82" s="33"/>
      <c r="I82" s="33" t="s">
        <v>461</v>
      </c>
      <c r="J82" s="33" t="s">
        <v>217</v>
      </c>
      <c r="K82" s="34" t="s">
        <v>429</v>
      </c>
      <c r="L82" s="157" t="s">
        <v>4</v>
      </c>
      <c r="M82" s="149" t="s">
        <v>736</v>
      </c>
      <c r="N82" s="166" t="s">
        <v>737</v>
      </c>
      <c r="O82" s="167" t="s">
        <v>738</v>
      </c>
      <c r="P82" s="40"/>
      <c r="Q82" s="40"/>
      <c r="R82" s="40"/>
    </row>
    <row r="83" spans="1:18" s="1" customFormat="1" ht="17">
      <c r="A83" s="31">
        <v>79</v>
      </c>
      <c r="B83" s="329" t="str">
        <f t="shared" si="1"/>
        <v>35ngFlpO_10ngSHRNA_-DOX_12hr</v>
      </c>
      <c r="C83" s="32">
        <v>35</v>
      </c>
      <c r="D83" s="32">
        <v>10</v>
      </c>
      <c r="E83" s="155" t="s">
        <v>214</v>
      </c>
      <c r="F83" s="32">
        <v>12</v>
      </c>
      <c r="G83" s="33">
        <v>1</v>
      </c>
      <c r="H83" s="33"/>
      <c r="I83" s="33" t="s">
        <v>461</v>
      </c>
      <c r="J83" s="33" t="s">
        <v>217</v>
      </c>
      <c r="K83" s="34" t="s">
        <v>430</v>
      </c>
      <c r="L83" s="157" t="s">
        <v>4</v>
      </c>
      <c r="M83" s="149" t="s">
        <v>739</v>
      </c>
      <c r="N83" s="166" t="s">
        <v>740</v>
      </c>
      <c r="O83" s="167" t="s">
        <v>741</v>
      </c>
      <c r="P83" s="40"/>
      <c r="Q83" s="40"/>
      <c r="R83" s="40"/>
    </row>
    <row r="84" spans="1:18" s="1" customFormat="1" ht="17">
      <c r="A84" s="31">
        <v>80</v>
      </c>
      <c r="B84" s="329" t="str">
        <f t="shared" si="1"/>
        <v>35ngFlpO_20ngSHRNA_-DOX_12hr</v>
      </c>
      <c r="C84" s="32">
        <v>35</v>
      </c>
      <c r="D84" s="32">
        <v>20</v>
      </c>
      <c r="E84" s="155" t="s">
        <v>214</v>
      </c>
      <c r="F84" s="32">
        <v>12</v>
      </c>
      <c r="G84" s="33">
        <v>1</v>
      </c>
      <c r="H84" s="33"/>
      <c r="I84" s="33" t="s">
        <v>461</v>
      </c>
      <c r="J84" s="33" t="s">
        <v>217</v>
      </c>
      <c r="K84" s="34" t="s">
        <v>431</v>
      </c>
      <c r="L84" s="157" t="s">
        <v>4</v>
      </c>
      <c r="M84" s="149" t="s">
        <v>742</v>
      </c>
      <c r="N84" s="166" t="s">
        <v>743</v>
      </c>
      <c r="O84" s="167" t="s">
        <v>744</v>
      </c>
      <c r="P84" s="40"/>
      <c r="Q84" s="40"/>
      <c r="R84" s="40"/>
    </row>
    <row r="85" spans="1:18" s="1" customFormat="1" ht="17">
      <c r="A85" s="31">
        <v>81</v>
      </c>
      <c r="B85" s="329" t="str">
        <f t="shared" si="1"/>
        <v>5ngFlpO_0ngSHRNA_+DOX_48hr</v>
      </c>
      <c r="C85" s="32">
        <v>5</v>
      </c>
      <c r="D85" s="32">
        <v>0</v>
      </c>
      <c r="E85" s="155" t="s">
        <v>213</v>
      </c>
      <c r="F85" s="32">
        <v>48</v>
      </c>
      <c r="G85" s="33">
        <v>1</v>
      </c>
      <c r="H85" s="33"/>
      <c r="I85" s="33" t="s">
        <v>462</v>
      </c>
      <c r="J85" s="33" t="s">
        <v>217</v>
      </c>
      <c r="K85" s="34" t="s">
        <v>424</v>
      </c>
      <c r="L85" s="157" t="s">
        <v>4</v>
      </c>
      <c r="M85" s="149" t="s">
        <v>745</v>
      </c>
      <c r="N85" s="166" t="s">
        <v>746</v>
      </c>
      <c r="O85" s="167" t="s">
        <v>747</v>
      </c>
      <c r="P85" s="40"/>
      <c r="Q85" s="40"/>
      <c r="R85" s="40"/>
    </row>
    <row r="86" spans="1:18" s="1" customFormat="1" ht="17">
      <c r="A86" s="31">
        <v>82</v>
      </c>
      <c r="B86" s="329" t="str">
        <f t="shared" si="1"/>
        <v>5ngFlpO_1ngSHRNA_+DOX_48hr</v>
      </c>
      <c r="C86" s="32">
        <v>5</v>
      </c>
      <c r="D86" s="32">
        <v>1</v>
      </c>
      <c r="E86" s="155" t="s">
        <v>213</v>
      </c>
      <c r="F86" s="32">
        <v>48</v>
      </c>
      <c r="G86" s="33">
        <v>1</v>
      </c>
      <c r="H86" s="33"/>
      <c r="I86" s="33" t="s">
        <v>462</v>
      </c>
      <c r="J86" s="33" t="s">
        <v>217</v>
      </c>
      <c r="K86" s="34" t="s">
        <v>425</v>
      </c>
      <c r="L86" s="157" t="s">
        <v>4</v>
      </c>
      <c r="M86" s="149" t="s">
        <v>748</v>
      </c>
      <c r="N86" s="166" t="s">
        <v>749</v>
      </c>
      <c r="O86" s="167" t="s">
        <v>750</v>
      </c>
      <c r="P86" s="40"/>
      <c r="Q86" s="40"/>
      <c r="R86" s="40"/>
    </row>
    <row r="87" spans="1:18" s="1" customFormat="1" ht="17">
      <c r="A87" s="31">
        <v>83</v>
      </c>
      <c r="B87" s="329" t="str">
        <f t="shared" si="1"/>
        <v>5ngFlpO_5ngSHRNA_+DOX_48hr</v>
      </c>
      <c r="C87" s="32">
        <v>5</v>
      </c>
      <c r="D87" s="32">
        <v>5</v>
      </c>
      <c r="E87" s="155" t="s">
        <v>213</v>
      </c>
      <c r="F87" s="32">
        <v>48</v>
      </c>
      <c r="G87" s="33">
        <v>1</v>
      </c>
      <c r="H87" s="33"/>
      <c r="I87" s="33" t="s">
        <v>462</v>
      </c>
      <c r="J87" s="33" t="s">
        <v>217</v>
      </c>
      <c r="K87" s="34" t="s">
        <v>426</v>
      </c>
      <c r="L87" s="157" t="s">
        <v>4</v>
      </c>
      <c r="M87" s="149" t="s">
        <v>751</v>
      </c>
      <c r="N87" s="166" t="s">
        <v>752</v>
      </c>
      <c r="O87" s="167" t="s">
        <v>753</v>
      </c>
      <c r="P87" s="40"/>
      <c r="Q87" s="40"/>
      <c r="R87" s="40"/>
    </row>
    <row r="88" spans="1:18" s="1" customFormat="1" ht="17">
      <c r="A88" s="31">
        <v>84</v>
      </c>
      <c r="B88" s="329" t="str">
        <f t="shared" si="1"/>
        <v>5ngFlpO_10ngSHRNA_+DOX_48hr</v>
      </c>
      <c r="C88" s="32">
        <v>5</v>
      </c>
      <c r="D88" s="32">
        <v>10</v>
      </c>
      <c r="E88" s="155" t="s">
        <v>213</v>
      </c>
      <c r="F88" s="32">
        <v>48</v>
      </c>
      <c r="G88" s="33">
        <v>1</v>
      </c>
      <c r="H88" s="33"/>
      <c r="I88" s="33" t="s">
        <v>462</v>
      </c>
      <c r="J88" s="33" t="s">
        <v>217</v>
      </c>
      <c r="K88" s="34" t="s">
        <v>427</v>
      </c>
      <c r="L88" s="157" t="s">
        <v>4</v>
      </c>
      <c r="M88" s="149" t="s">
        <v>754</v>
      </c>
      <c r="N88" s="166" t="s">
        <v>755</v>
      </c>
      <c r="O88" s="167" t="s">
        <v>756</v>
      </c>
      <c r="P88" s="40"/>
      <c r="Q88" s="40"/>
      <c r="R88" s="40"/>
    </row>
    <row r="89" spans="1:18" s="1" customFormat="1" ht="17">
      <c r="A89" s="31">
        <v>85</v>
      </c>
      <c r="B89" s="329" t="str">
        <f t="shared" si="1"/>
        <v>5ngFlpO_20ngSHRNA_+DOX_48hr</v>
      </c>
      <c r="C89" s="32">
        <v>5</v>
      </c>
      <c r="D89" s="32">
        <v>20</v>
      </c>
      <c r="E89" s="155" t="s">
        <v>213</v>
      </c>
      <c r="F89" s="32">
        <v>48</v>
      </c>
      <c r="G89" s="33">
        <v>1</v>
      </c>
      <c r="H89" s="33"/>
      <c r="I89" s="33" t="s">
        <v>462</v>
      </c>
      <c r="J89" s="33" t="s">
        <v>217</v>
      </c>
      <c r="K89" s="34" t="s">
        <v>428</v>
      </c>
      <c r="L89" s="157" t="s">
        <v>4</v>
      </c>
      <c r="M89" s="149" t="s">
        <v>757</v>
      </c>
      <c r="N89" s="166" t="s">
        <v>758</v>
      </c>
      <c r="O89" s="167" t="s">
        <v>759</v>
      </c>
      <c r="P89" s="40"/>
      <c r="Q89" s="40"/>
      <c r="R89" s="40"/>
    </row>
    <row r="90" spans="1:18" s="1" customFormat="1" ht="17">
      <c r="A90" s="31">
        <v>86</v>
      </c>
      <c r="B90" s="329" t="str">
        <f t="shared" si="1"/>
        <v>15ngFlpO_0ngSHRNA_+DOX_48hr</v>
      </c>
      <c r="C90" s="32">
        <v>15</v>
      </c>
      <c r="D90" s="32">
        <v>0</v>
      </c>
      <c r="E90" s="155" t="s">
        <v>213</v>
      </c>
      <c r="F90" s="32">
        <v>48</v>
      </c>
      <c r="G90" s="33">
        <v>1</v>
      </c>
      <c r="H90" s="33"/>
      <c r="I90" s="33" t="s">
        <v>462</v>
      </c>
      <c r="J90" s="33" t="s">
        <v>217</v>
      </c>
      <c r="K90" s="34" t="s">
        <v>429</v>
      </c>
      <c r="L90" s="157" t="s">
        <v>4</v>
      </c>
      <c r="M90" s="149" t="s">
        <v>760</v>
      </c>
      <c r="N90" s="166" t="s">
        <v>761</v>
      </c>
      <c r="O90" s="167" t="s">
        <v>762</v>
      </c>
      <c r="P90" s="40"/>
      <c r="Q90" s="40"/>
      <c r="R90" s="40"/>
    </row>
    <row r="91" spans="1:18" s="1" customFormat="1" ht="17">
      <c r="A91" s="31">
        <v>87</v>
      </c>
      <c r="B91" s="329" t="str">
        <f t="shared" si="1"/>
        <v>15ngFlpO_1ngSHRNA_+DOX_48hr</v>
      </c>
      <c r="C91" s="32">
        <v>15</v>
      </c>
      <c r="D91" s="32">
        <v>1</v>
      </c>
      <c r="E91" s="155" t="s">
        <v>213</v>
      </c>
      <c r="F91" s="32">
        <v>48</v>
      </c>
      <c r="G91" s="33">
        <v>1</v>
      </c>
      <c r="H91" s="33"/>
      <c r="I91" s="33" t="s">
        <v>462</v>
      </c>
      <c r="J91" s="33" t="s">
        <v>217</v>
      </c>
      <c r="K91" s="34" t="s">
        <v>430</v>
      </c>
      <c r="L91" s="157" t="s">
        <v>4</v>
      </c>
      <c r="M91" s="149" t="s">
        <v>763</v>
      </c>
      <c r="N91" s="166" t="s">
        <v>764</v>
      </c>
      <c r="O91" s="167" t="s">
        <v>765</v>
      </c>
      <c r="P91" s="40"/>
      <c r="Q91" s="40"/>
      <c r="R91" s="40"/>
    </row>
    <row r="92" spans="1:18" s="1" customFormat="1" ht="17">
      <c r="A92" s="31">
        <v>88</v>
      </c>
      <c r="B92" s="329" t="str">
        <f t="shared" si="1"/>
        <v>15ngFlpO_5ngSHRNA_+DOX_48hr</v>
      </c>
      <c r="C92" s="32">
        <v>15</v>
      </c>
      <c r="D92" s="32">
        <v>5</v>
      </c>
      <c r="E92" s="155" t="s">
        <v>213</v>
      </c>
      <c r="F92" s="32">
        <v>48</v>
      </c>
      <c r="G92" s="33">
        <v>1</v>
      </c>
      <c r="H92" s="33"/>
      <c r="I92" s="33" t="s">
        <v>462</v>
      </c>
      <c r="J92" s="33" t="s">
        <v>217</v>
      </c>
      <c r="K92" s="34" t="s">
        <v>431</v>
      </c>
      <c r="L92" s="157" t="s">
        <v>4</v>
      </c>
      <c r="M92" s="149" t="s">
        <v>766</v>
      </c>
      <c r="N92" s="166" t="s">
        <v>767</v>
      </c>
      <c r="O92" s="167" t="s">
        <v>768</v>
      </c>
      <c r="P92" s="40"/>
      <c r="Q92" s="40"/>
      <c r="R92" s="40"/>
    </row>
    <row r="93" spans="1:18" s="1" customFormat="1" ht="17">
      <c r="A93" s="31">
        <v>89</v>
      </c>
      <c r="B93" s="329" t="str">
        <f t="shared" si="1"/>
        <v>15ngFlpO_10ngSHRNA_+DOX_48hr</v>
      </c>
      <c r="C93" s="32">
        <v>15</v>
      </c>
      <c r="D93" s="32">
        <v>10</v>
      </c>
      <c r="E93" s="155" t="s">
        <v>213</v>
      </c>
      <c r="F93" s="32">
        <v>48</v>
      </c>
      <c r="G93" s="33">
        <v>1</v>
      </c>
      <c r="H93" s="33"/>
      <c r="I93" s="33" t="s">
        <v>462</v>
      </c>
      <c r="J93" s="33" t="s">
        <v>432</v>
      </c>
      <c r="K93" s="34" t="s">
        <v>433</v>
      </c>
      <c r="L93" s="157" t="s">
        <v>4</v>
      </c>
      <c r="M93" s="149" t="s">
        <v>769</v>
      </c>
      <c r="N93" s="166" t="s">
        <v>770</v>
      </c>
      <c r="O93" s="167" t="s">
        <v>771</v>
      </c>
      <c r="P93" s="40"/>
      <c r="Q93" s="40"/>
      <c r="R93" s="40"/>
    </row>
    <row r="94" spans="1:18" s="1" customFormat="1" ht="17">
      <c r="A94" s="31">
        <v>90</v>
      </c>
      <c r="B94" s="329" t="str">
        <f t="shared" si="1"/>
        <v>15ngFlpO_20ngSHRNA_+DOX_48hr</v>
      </c>
      <c r="C94" s="32">
        <v>15</v>
      </c>
      <c r="D94" s="32">
        <v>20</v>
      </c>
      <c r="E94" s="155" t="s">
        <v>213</v>
      </c>
      <c r="F94" s="32">
        <v>48</v>
      </c>
      <c r="G94" s="33">
        <v>1</v>
      </c>
      <c r="H94" s="33"/>
      <c r="I94" s="33" t="s">
        <v>462</v>
      </c>
      <c r="J94" s="33" t="s">
        <v>432</v>
      </c>
      <c r="K94" s="34" t="s">
        <v>434</v>
      </c>
      <c r="L94" s="157" t="s">
        <v>4</v>
      </c>
      <c r="M94" s="149" t="s">
        <v>772</v>
      </c>
      <c r="N94" s="166" t="s">
        <v>773</v>
      </c>
      <c r="O94" s="167" t="s">
        <v>774</v>
      </c>
      <c r="P94" s="40"/>
      <c r="Q94" s="40"/>
      <c r="R94" s="40"/>
    </row>
    <row r="95" spans="1:18" s="1" customFormat="1" ht="17">
      <c r="A95" s="31">
        <v>91</v>
      </c>
      <c r="B95" s="329" t="str">
        <f t="shared" si="1"/>
        <v>25ngFlpO_0ngSHRNA_+DOX_48hr</v>
      </c>
      <c r="C95" s="32">
        <v>25</v>
      </c>
      <c r="D95" s="32">
        <v>0</v>
      </c>
      <c r="E95" s="155" t="s">
        <v>213</v>
      </c>
      <c r="F95" s="32">
        <v>48</v>
      </c>
      <c r="G95" s="33">
        <v>1</v>
      </c>
      <c r="H95" s="33"/>
      <c r="I95" s="33" t="s">
        <v>462</v>
      </c>
      <c r="J95" s="33" t="s">
        <v>432</v>
      </c>
      <c r="K95" s="34" t="s">
        <v>435</v>
      </c>
      <c r="L95" s="157" t="s">
        <v>4</v>
      </c>
      <c r="M95" s="149" t="s">
        <v>775</v>
      </c>
      <c r="N95" s="166" t="s">
        <v>776</v>
      </c>
      <c r="O95" s="167" t="s">
        <v>777</v>
      </c>
      <c r="P95" s="40"/>
      <c r="Q95" s="40"/>
      <c r="R95" s="40"/>
    </row>
    <row r="96" spans="1:18" s="1" customFormat="1" ht="17">
      <c r="A96" s="31">
        <v>92</v>
      </c>
      <c r="B96" s="329" t="str">
        <f t="shared" si="1"/>
        <v>25ngFlpO_1ngSHRNA_+DOX_48hr</v>
      </c>
      <c r="C96" s="32">
        <v>25</v>
      </c>
      <c r="D96" s="32">
        <v>1</v>
      </c>
      <c r="E96" s="155" t="s">
        <v>213</v>
      </c>
      <c r="F96" s="32">
        <v>48</v>
      </c>
      <c r="G96" s="33">
        <v>1</v>
      </c>
      <c r="H96" s="33"/>
      <c r="I96" s="33" t="s">
        <v>462</v>
      </c>
      <c r="J96" s="33" t="s">
        <v>432</v>
      </c>
      <c r="K96" s="34" t="s">
        <v>436</v>
      </c>
      <c r="L96" s="157" t="s">
        <v>4</v>
      </c>
      <c r="M96" s="149" t="s">
        <v>778</v>
      </c>
      <c r="N96" s="166" t="s">
        <v>779</v>
      </c>
      <c r="O96" s="167" t="s">
        <v>780</v>
      </c>
      <c r="P96" s="40"/>
      <c r="Q96" s="40"/>
      <c r="R96" s="40"/>
    </row>
    <row r="97" spans="1:18" s="1" customFormat="1" ht="17">
      <c r="A97" s="31">
        <v>93</v>
      </c>
      <c r="B97" s="329" t="str">
        <f t="shared" si="1"/>
        <v>25ngFlpO_5ngSHRNA_+DOX_48hr</v>
      </c>
      <c r="C97" s="32">
        <v>25</v>
      </c>
      <c r="D97" s="32">
        <v>5</v>
      </c>
      <c r="E97" s="155" t="s">
        <v>213</v>
      </c>
      <c r="F97" s="32">
        <v>48</v>
      </c>
      <c r="G97" s="33">
        <v>1</v>
      </c>
      <c r="H97" s="33"/>
      <c r="I97" s="33" t="s">
        <v>462</v>
      </c>
      <c r="J97" s="33" t="s">
        <v>432</v>
      </c>
      <c r="K97" s="34" t="s">
        <v>437</v>
      </c>
      <c r="L97" s="157" t="s">
        <v>4</v>
      </c>
      <c r="M97" s="149" t="s">
        <v>781</v>
      </c>
      <c r="N97" s="166" t="s">
        <v>782</v>
      </c>
      <c r="O97" s="167" t="s">
        <v>783</v>
      </c>
      <c r="P97" s="40"/>
      <c r="Q97" s="40"/>
      <c r="R97" s="40"/>
    </row>
    <row r="98" spans="1:18" s="1" customFormat="1" ht="17">
      <c r="A98" s="31">
        <v>94</v>
      </c>
      <c r="B98" s="329" t="str">
        <f t="shared" si="1"/>
        <v>25ngFlpO_10ngSHRNA_+DOX_48hr</v>
      </c>
      <c r="C98" s="32">
        <v>25</v>
      </c>
      <c r="D98" s="32">
        <v>10</v>
      </c>
      <c r="E98" s="155" t="s">
        <v>213</v>
      </c>
      <c r="F98" s="32">
        <v>48</v>
      </c>
      <c r="G98" s="33">
        <v>1</v>
      </c>
      <c r="H98" s="33"/>
      <c r="I98" s="33" t="s">
        <v>462</v>
      </c>
      <c r="J98" s="33" t="s">
        <v>432</v>
      </c>
      <c r="K98" s="34" t="s">
        <v>438</v>
      </c>
      <c r="L98" s="157" t="s">
        <v>4</v>
      </c>
      <c r="M98" s="149" t="s">
        <v>784</v>
      </c>
      <c r="N98" s="166" t="s">
        <v>785</v>
      </c>
      <c r="O98" s="167" t="s">
        <v>786</v>
      </c>
      <c r="P98" s="40"/>
      <c r="Q98" s="40"/>
      <c r="R98" s="40"/>
    </row>
    <row r="99" spans="1:18" s="1" customFormat="1" ht="17">
      <c r="A99" s="31">
        <v>95</v>
      </c>
      <c r="B99" s="329" t="str">
        <f t="shared" si="1"/>
        <v>25ngFlpO_20ngSHRNA_+DOX_48hr</v>
      </c>
      <c r="C99" s="32">
        <v>25</v>
      </c>
      <c r="D99" s="32">
        <v>20</v>
      </c>
      <c r="E99" s="155" t="s">
        <v>213</v>
      </c>
      <c r="F99" s="32">
        <v>48</v>
      </c>
      <c r="G99" s="33">
        <v>1</v>
      </c>
      <c r="H99" s="33"/>
      <c r="I99" s="33" t="s">
        <v>462</v>
      </c>
      <c r="J99" s="33" t="s">
        <v>432</v>
      </c>
      <c r="K99" s="34" t="s">
        <v>439</v>
      </c>
      <c r="L99" s="157" t="s">
        <v>4</v>
      </c>
      <c r="M99" s="149" t="s">
        <v>787</v>
      </c>
      <c r="N99" s="166" t="s">
        <v>788</v>
      </c>
      <c r="O99" s="167" t="s">
        <v>789</v>
      </c>
      <c r="P99" s="40"/>
      <c r="Q99" s="40"/>
      <c r="R99" s="40"/>
    </row>
    <row r="100" spans="1:18" s="1" customFormat="1" ht="17">
      <c r="A100" s="31">
        <v>96</v>
      </c>
      <c r="B100" s="329" t="str">
        <f t="shared" si="1"/>
        <v>35ngFlpO_0ngSHRNA_+DOX_48hr</v>
      </c>
      <c r="C100" s="32">
        <v>35</v>
      </c>
      <c r="D100" s="32">
        <v>0</v>
      </c>
      <c r="E100" s="155" t="s">
        <v>213</v>
      </c>
      <c r="F100" s="32">
        <v>48</v>
      </c>
      <c r="G100" s="33">
        <v>1</v>
      </c>
      <c r="H100" s="33"/>
      <c r="I100" s="33" t="s">
        <v>462</v>
      </c>
      <c r="J100" s="33" t="s">
        <v>432</v>
      </c>
      <c r="K100" s="34" t="s">
        <v>440</v>
      </c>
      <c r="L100" s="157" t="s">
        <v>4</v>
      </c>
      <c r="M100" s="149" t="s">
        <v>790</v>
      </c>
      <c r="N100" s="166" t="s">
        <v>791</v>
      </c>
      <c r="O100" s="167" t="s">
        <v>792</v>
      </c>
      <c r="P100" s="40"/>
      <c r="Q100" s="40"/>
      <c r="R100" s="40"/>
    </row>
    <row r="101" spans="1:18" s="1" customFormat="1" ht="17">
      <c r="A101" s="31">
        <v>97</v>
      </c>
      <c r="B101" s="329" t="str">
        <f t="shared" si="1"/>
        <v>35ngFlpO_1ngSHRNA_+DOX_48hr</v>
      </c>
      <c r="C101" s="32">
        <v>35</v>
      </c>
      <c r="D101" s="32">
        <v>1</v>
      </c>
      <c r="E101" s="155" t="s">
        <v>213</v>
      </c>
      <c r="F101" s="32">
        <v>48</v>
      </c>
      <c r="G101" s="33">
        <v>1</v>
      </c>
      <c r="H101" s="33"/>
      <c r="I101" s="33" t="s">
        <v>462</v>
      </c>
      <c r="J101" s="33" t="s">
        <v>441</v>
      </c>
      <c r="K101" s="34" t="s">
        <v>442</v>
      </c>
      <c r="L101" s="157" t="s">
        <v>4</v>
      </c>
      <c r="M101" s="149" t="s">
        <v>793</v>
      </c>
      <c r="N101" s="166" t="s">
        <v>794</v>
      </c>
      <c r="O101" s="167" t="s">
        <v>795</v>
      </c>
      <c r="P101" s="40"/>
      <c r="Q101" s="40"/>
      <c r="R101" s="40"/>
    </row>
    <row r="102" spans="1:18" s="1" customFormat="1" ht="17">
      <c r="A102" s="31">
        <v>98</v>
      </c>
      <c r="B102" s="329" t="str">
        <f t="shared" si="1"/>
        <v>35ngFlpO_5ngSHRNA_+DOX_48hr</v>
      </c>
      <c r="C102" s="32">
        <v>35</v>
      </c>
      <c r="D102" s="32">
        <v>5</v>
      </c>
      <c r="E102" s="155" t="s">
        <v>213</v>
      </c>
      <c r="F102" s="32">
        <v>48</v>
      </c>
      <c r="G102" s="33">
        <v>1</v>
      </c>
      <c r="H102" s="33"/>
      <c r="I102" s="33" t="s">
        <v>462</v>
      </c>
      <c r="J102" s="33" t="s">
        <v>441</v>
      </c>
      <c r="K102" s="34" t="s">
        <v>443</v>
      </c>
      <c r="L102" s="157" t="s">
        <v>4</v>
      </c>
      <c r="M102" s="149" t="s">
        <v>796</v>
      </c>
      <c r="N102" s="166" t="s">
        <v>797</v>
      </c>
      <c r="O102" s="167" t="s">
        <v>798</v>
      </c>
      <c r="P102" s="40"/>
      <c r="Q102" s="40"/>
      <c r="R102" s="40"/>
    </row>
    <row r="103" spans="1:18" s="1" customFormat="1" ht="17">
      <c r="A103" s="31">
        <v>99</v>
      </c>
      <c r="B103" s="329" t="str">
        <f t="shared" si="1"/>
        <v>35ngFlpO_10ngSHRNA_+DOX_48hr</v>
      </c>
      <c r="C103" s="32">
        <v>35</v>
      </c>
      <c r="D103" s="32">
        <v>10</v>
      </c>
      <c r="E103" s="155" t="s">
        <v>213</v>
      </c>
      <c r="F103" s="32">
        <v>48</v>
      </c>
      <c r="G103" s="33">
        <v>1</v>
      </c>
      <c r="H103" s="33"/>
      <c r="I103" s="33" t="s">
        <v>462</v>
      </c>
      <c r="J103" s="33" t="s">
        <v>441</v>
      </c>
      <c r="K103" s="34" t="s">
        <v>444</v>
      </c>
      <c r="L103" s="157" t="s">
        <v>4</v>
      </c>
      <c r="M103" s="149" t="s">
        <v>799</v>
      </c>
      <c r="N103" s="166" t="s">
        <v>800</v>
      </c>
      <c r="O103" s="167" t="s">
        <v>801</v>
      </c>
      <c r="P103" s="40"/>
      <c r="Q103" s="40"/>
      <c r="R103" s="40"/>
    </row>
    <row r="104" spans="1:18" s="1" customFormat="1" ht="17">
      <c r="A104" s="31">
        <v>100</v>
      </c>
      <c r="B104" s="329" t="str">
        <f t="shared" si="1"/>
        <v>35ngFlpO_20ngSHRNA_+DOX_48hr</v>
      </c>
      <c r="C104" s="32">
        <v>35</v>
      </c>
      <c r="D104" s="32">
        <v>20</v>
      </c>
      <c r="E104" s="155" t="s">
        <v>213</v>
      </c>
      <c r="F104" s="32">
        <v>48</v>
      </c>
      <c r="G104" s="33">
        <v>1</v>
      </c>
      <c r="H104" s="33"/>
      <c r="I104" s="33" t="s">
        <v>462</v>
      </c>
      <c r="J104" s="33" t="s">
        <v>441</v>
      </c>
      <c r="K104" s="34" t="s">
        <v>445</v>
      </c>
      <c r="L104" s="157" t="s">
        <v>4</v>
      </c>
      <c r="M104" s="149" t="s">
        <v>802</v>
      </c>
      <c r="N104" s="166" t="s">
        <v>803</v>
      </c>
      <c r="O104" s="167" t="s">
        <v>804</v>
      </c>
      <c r="P104" s="40"/>
      <c r="Q104" s="40"/>
      <c r="R104" s="40"/>
    </row>
    <row r="105" spans="1:18" s="1" customFormat="1" ht="17">
      <c r="A105" s="31">
        <v>101</v>
      </c>
      <c r="B105" s="329" t="str">
        <f t="shared" si="1"/>
        <v>5ngFlpO_0ngSHRNA_-DOX_48hr</v>
      </c>
      <c r="C105" s="32">
        <v>5</v>
      </c>
      <c r="D105" s="32">
        <v>0</v>
      </c>
      <c r="E105" s="155" t="s">
        <v>214</v>
      </c>
      <c r="F105" s="32">
        <v>48</v>
      </c>
      <c r="G105" s="33">
        <v>1</v>
      </c>
      <c r="H105" s="33"/>
      <c r="I105" s="33" t="s">
        <v>462</v>
      </c>
      <c r="J105" s="33" t="s">
        <v>441</v>
      </c>
      <c r="K105" s="34" t="s">
        <v>446</v>
      </c>
      <c r="L105" s="157" t="s">
        <v>4</v>
      </c>
      <c r="M105" s="149" t="s">
        <v>805</v>
      </c>
      <c r="N105" s="166" t="s">
        <v>806</v>
      </c>
      <c r="O105" s="167" t="s">
        <v>807</v>
      </c>
      <c r="P105" s="40"/>
      <c r="Q105" s="40"/>
      <c r="R105" s="40"/>
    </row>
    <row r="106" spans="1:18" s="1" customFormat="1" ht="17">
      <c r="A106" s="31">
        <v>102</v>
      </c>
      <c r="B106" s="329" t="str">
        <f t="shared" si="1"/>
        <v>5ngFlpO_1ngSHRNA_-DOX_48hr</v>
      </c>
      <c r="C106" s="32">
        <v>5</v>
      </c>
      <c r="D106" s="32">
        <v>1</v>
      </c>
      <c r="E106" s="155" t="s">
        <v>214</v>
      </c>
      <c r="F106" s="32">
        <v>48</v>
      </c>
      <c r="G106" s="33">
        <v>1</v>
      </c>
      <c r="H106" s="33"/>
      <c r="I106" s="33" t="s">
        <v>462</v>
      </c>
      <c r="J106" s="33" t="s">
        <v>441</v>
      </c>
      <c r="K106" s="34" t="s">
        <v>447</v>
      </c>
      <c r="L106" s="157" t="s">
        <v>4</v>
      </c>
      <c r="M106" s="149" t="s">
        <v>808</v>
      </c>
      <c r="N106" s="166" t="s">
        <v>809</v>
      </c>
      <c r="O106" s="167" t="s">
        <v>810</v>
      </c>
      <c r="P106" s="40"/>
      <c r="Q106" s="40"/>
      <c r="R106" s="40"/>
    </row>
    <row r="107" spans="1:18" s="1" customFormat="1" ht="17">
      <c r="A107" s="31">
        <v>103</v>
      </c>
      <c r="B107" s="329" t="str">
        <f t="shared" si="1"/>
        <v>5ngFlpO_5ngSHRNA_-DOX_48hr</v>
      </c>
      <c r="C107" s="32">
        <v>5</v>
      </c>
      <c r="D107" s="32">
        <v>5</v>
      </c>
      <c r="E107" s="155" t="s">
        <v>214</v>
      </c>
      <c r="F107" s="32">
        <v>48</v>
      </c>
      <c r="G107" s="33">
        <v>1</v>
      </c>
      <c r="H107" s="33"/>
      <c r="I107" s="33" t="s">
        <v>462</v>
      </c>
      <c r="J107" s="33" t="s">
        <v>441</v>
      </c>
      <c r="K107" s="34" t="s">
        <v>448</v>
      </c>
      <c r="L107" s="157" t="s">
        <v>4</v>
      </c>
      <c r="M107" s="149" t="s">
        <v>811</v>
      </c>
      <c r="N107" s="166" t="s">
        <v>812</v>
      </c>
      <c r="O107" s="167" t="s">
        <v>813</v>
      </c>
      <c r="P107" s="40"/>
      <c r="Q107" s="40"/>
      <c r="R107" s="40"/>
    </row>
    <row r="108" spans="1:18" s="1" customFormat="1" ht="17">
      <c r="A108" s="31">
        <v>104</v>
      </c>
      <c r="B108" s="329" t="str">
        <f t="shared" si="1"/>
        <v>5ngFlpO_10ngSHRNA_-DOX_48hr</v>
      </c>
      <c r="C108" s="32">
        <v>5</v>
      </c>
      <c r="D108" s="32">
        <v>10</v>
      </c>
      <c r="E108" s="155" t="s">
        <v>214</v>
      </c>
      <c r="F108" s="32">
        <v>48</v>
      </c>
      <c r="G108" s="33">
        <v>1</v>
      </c>
      <c r="H108" s="33"/>
      <c r="I108" s="33" t="s">
        <v>462</v>
      </c>
      <c r="J108" s="33" t="s">
        <v>441</v>
      </c>
      <c r="K108" s="34" t="s">
        <v>449</v>
      </c>
      <c r="L108" s="157" t="s">
        <v>4</v>
      </c>
      <c r="M108" s="149" t="s">
        <v>814</v>
      </c>
      <c r="N108" s="166" t="s">
        <v>815</v>
      </c>
      <c r="O108" s="167" t="s">
        <v>816</v>
      </c>
      <c r="P108" s="40"/>
      <c r="Q108" s="40"/>
      <c r="R108" s="40"/>
    </row>
    <row r="109" spans="1:18" s="1" customFormat="1" ht="17">
      <c r="A109" s="31">
        <v>105</v>
      </c>
      <c r="B109" s="329" t="str">
        <f t="shared" si="1"/>
        <v>5ngFlpO_20ngSHRNA_-DOX_48hr</v>
      </c>
      <c r="C109" s="32">
        <v>5</v>
      </c>
      <c r="D109" s="32">
        <v>20</v>
      </c>
      <c r="E109" s="155" t="s">
        <v>214</v>
      </c>
      <c r="F109" s="32">
        <v>48</v>
      </c>
      <c r="G109" s="33">
        <v>1</v>
      </c>
      <c r="H109" s="33"/>
      <c r="I109" s="33" t="s">
        <v>462</v>
      </c>
      <c r="J109" s="33" t="s">
        <v>450</v>
      </c>
      <c r="K109" s="34" t="s">
        <v>451</v>
      </c>
      <c r="L109" s="157" t="s">
        <v>4</v>
      </c>
      <c r="M109" s="149" t="s">
        <v>817</v>
      </c>
      <c r="N109" s="166" t="s">
        <v>818</v>
      </c>
      <c r="O109" s="167" t="s">
        <v>819</v>
      </c>
      <c r="P109" s="40"/>
      <c r="Q109" s="40"/>
      <c r="R109" s="40"/>
    </row>
    <row r="110" spans="1:18" s="1" customFormat="1" ht="17">
      <c r="A110" s="31">
        <v>106</v>
      </c>
      <c r="B110" s="329" t="str">
        <f t="shared" si="1"/>
        <v>15ngFlpO_0ngSHRNA_-DOX_48hr</v>
      </c>
      <c r="C110" s="32">
        <v>15</v>
      </c>
      <c r="D110" s="32">
        <v>0</v>
      </c>
      <c r="E110" s="155" t="s">
        <v>214</v>
      </c>
      <c r="F110" s="32">
        <v>48</v>
      </c>
      <c r="G110" s="33">
        <v>1</v>
      </c>
      <c r="H110" s="33"/>
      <c r="I110" s="33" t="s">
        <v>462</v>
      </c>
      <c r="J110" s="33" t="s">
        <v>450</v>
      </c>
      <c r="K110" s="34" t="s">
        <v>452</v>
      </c>
      <c r="L110" s="157" t="s">
        <v>4</v>
      </c>
      <c r="M110" s="149" t="s">
        <v>820</v>
      </c>
      <c r="N110" s="166" t="s">
        <v>821</v>
      </c>
      <c r="O110" s="167" t="s">
        <v>822</v>
      </c>
      <c r="P110" s="40"/>
      <c r="Q110" s="40"/>
      <c r="R110" s="40"/>
    </row>
    <row r="111" spans="1:18" s="1" customFormat="1" ht="17">
      <c r="A111" s="31">
        <v>107</v>
      </c>
      <c r="B111" s="329" t="str">
        <f t="shared" si="1"/>
        <v>15ngFlpO_1ngSHRNA_-DOX_48hr</v>
      </c>
      <c r="C111" s="32">
        <v>15</v>
      </c>
      <c r="D111" s="32">
        <v>1</v>
      </c>
      <c r="E111" s="155" t="s">
        <v>214</v>
      </c>
      <c r="F111" s="32">
        <v>48</v>
      </c>
      <c r="G111" s="33">
        <v>1</v>
      </c>
      <c r="H111" s="33"/>
      <c r="I111" s="33" t="s">
        <v>462</v>
      </c>
      <c r="J111" s="33" t="s">
        <v>450</v>
      </c>
      <c r="K111" s="34" t="s">
        <v>453</v>
      </c>
      <c r="L111" s="157" t="s">
        <v>4</v>
      </c>
      <c r="M111" s="149" t="s">
        <v>823</v>
      </c>
      <c r="N111" s="166" t="s">
        <v>824</v>
      </c>
      <c r="O111" s="167" t="s">
        <v>825</v>
      </c>
      <c r="P111" s="40"/>
      <c r="Q111" s="40"/>
      <c r="R111" s="40"/>
    </row>
    <row r="112" spans="1:18" s="1" customFormat="1" ht="17">
      <c r="A112" s="31">
        <v>108</v>
      </c>
      <c r="B112" s="329" t="str">
        <f t="shared" si="1"/>
        <v>15ngFlpO_5ngSHRNA_-DOX_48hr</v>
      </c>
      <c r="C112" s="32">
        <v>15</v>
      </c>
      <c r="D112" s="32">
        <v>5</v>
      </c>
      <c r="E112" s="155" t="s">
        <v>214</v>
      </c>
      <c r="F112" s="32">
        <v>48</v>
      </c>
      <c r="G112" s="33">
        <v>1</v>
      </c>
      <c r="H112" s="33"/>
      <c r="I112" s="33" t="s">
        <v>462</v>
      </c>
      <c r="J112" s="33" t="s">
        <v>450</v>
      </c>
      <c r="K112" s="34" t="s">
        <v>454</v>
      </c>
      <c r="L112" s="157" t="s">
        <v>4</v>
      </c>
      <c r="M112" s="149" t="s">
        <v>826</v>
      </c>
      <c r="N112" s="166" t="s">
        <v>827</v>
      </c>
      <c r="O112" s="167" t="s">
        <v>828</v>
      </c>
      <c r="P112" s="40"/>
      <c r="Q112" s="40"/>
      <c r="R112" s="40"/>
    </row>
    <row r="113" spans="1:18" s="1" customFormat="1" ht="17">
      <c r="A113" s="31">
        <v>109</v>
      </c>
      <c r="B113" s="329" t="str">
        <f t="shared" si="1"/>
        <v>15ngFlpO_10ngSHRNA_-DOX_48hr</v>
      </c>
      <c r="C113" s="32">
        <v>15</v>
      </c>
      <c r="D113" s="32">
        <v>10</v>
      </c>
      <c r="E113" s="155" t="s">
        <v>214</v>
      </c>
      <c r="F113" s="32">
        <v>48</v>
      </c>
      <c r="G113" s="33">
        <v>1</v>
      </c>
      <c r="H113" s="33"/>
      <c r="I113" s="33" t="s">
        <v>462</v>
      </c>
      <c r="J113" s="33" t="s">
        <v>450</v>
      </c>
      <c r="K113" s="34" t="s">
        <v>455</v>
      </c>
      <c r="L113" s="157" t="s">
        <v>4</v>
      </c>
      <c r="M113" s="149" t="s">
        <v>829</v>
      </c>
      <c r="N113" s="166" t="s">
        <v>830</v>
      </c>
      <c r="O113" s="167" t="s">
        <v>831</v>
      </c>
      <c r="P113" s="40"/>
      <c r="Q113" s="40"/>
      <c r="R113" s="40"/>
    </row>
    <row r="114" spans="1:18" s="1" customFormat="1" ht="17">
      <c r="A114" s="31">
        <v>110</v>
      </c>
      <c r="B114" s="329" t="str">
        <f t="shared" si="1"/>
        <v>15ngFlpO_20ngSHRNA_-DOX_48hr</v>
      </c>
      <c r="C114" s="32">
        <v>15</v>
      </c>
      <c r="D114" s="32">
        <v>20</v>
      </c>
      <c r="E114" s="155" t="s">
        <v>214</v>
      </c>
      <c r="F114" s="32">
        <v>48</v>
      </c>
      <c r="G114" s="33">
        <v>1</v>
      </c>
      <c r="H114" s="33"/>
      <c r="I114" s="33" t="s">
        <v>462</v>
      </c>
      <c r="J114" s="33" t="s">
        <v>450</v>
      </c>
      <c r="K114" s="34" t="s">
        <v>456</v>
      </c>
      <c r="L114" s="157" t="s">
        <v>4</v>
      </c>
      <c r="M114" s="149" t="s">
        <v>832</v>
      </c>
      <c r="N114" s="166" t="s">
        <v>833</v>
      </c>
      <c r="O114" s="167" t="s">
        <v>834</v>
      </c>
      <c r="P114" s="40"/>
      <c r="Q114" s="40"/>
      <c r="R114" s="40"/>
    </row>
    <row r="115" spans="1:18" s="1" customFormat="1" ht="17">
      <c r="A115" s="31">
        <v>111</v>
      </c>
      <c r="B115" s="329" t="str">
        <f t="shared" si="1"/>
        <v>25ngFlpO_0ngSHRNA_-DOX_48hr</v>
      </c>
      <c r="C115" s="32">
        <v>25</v>
      </c>
      <c r="D115" s="32">
        <v>0</v>
      </c>
      <c r="E115" s="155" t="s">
        <v>214</v>
      </c>
      <c r="F115" s="32">
        <v>48</v>
      </c>
      <c r="G115" s="33">
        <v>1</v>
      </c>
      <c r="H115" s="33"/>
      <c r="I115" s="33" t="s">
        <v>462</v>
      </c>
      <c r="J115" s="33" t="s">
        <v>450</v>
      </c>
      <c r="K115" s="34" t="s">
        <v>457</v>
      </c>
      <c r="L115" s="157" t="s">
        <v>4</v>
      </c>
      <c r="M115" s="149" t="s">
        <v>835</v>
      </c>
      <c r="N115" s="166" t="s">
        <v>836</v>
      </c>
      <c r="O115" s="167" t="s">
        <v>837</v>
      </c>
      <c r="P115" s="40"/>
      <c r="Q115" s="40"/>
      <c r="R115" s="40"/>
    </row>
    <row r="116" spans="1:18" s="1" customFormat="1" ht="17">
      <c r="A116" s="31">
        <v>112</v>
      </c>
      <c r="B116" s="329" t="str">
        <f t="shared" si="1"/>
        <v>25ngFlpO_1ngSHRNA_-DOX_48hr</v>
      </c>
      <c r="C116" s="32">
        <v>25</v>
      </c>
      <c r="D116" s="32">
        <v>1</v>
      </c>
      <c r="E116" s="155" t="s">
        <v>214</v>
      </c>
      <c r="F116" s="32">
        <v>48</v>
      </c>
      <c r="G116" s="33">
        <v>1</v>
      </c>
      <c r="H116" s="33"/>
      <c r="I116" s="33" t="s">
        <v>462</v>
      </c>
      <c r="J116" s="33" t="s">
        <v>450</v>
      </c>
      <c r="K116" s="34" t="s">
        <v>458</v>
      </c>
      <c r="L116" s="157" t="s">
        <v>4</v>
      </c>
      <c r="M116" s="149" t="s">
        <v>838</v>
      </c>
      <c r="N116" s="166" t="s">
        <v>839</v>
      </c>
      <c r="O116" s="167" t="s">
        <v>840</v>
      </c>
      <c r="P116" s="40"/>
      <c r="Q116" s="40"/>
      <c r="R116" s="40"/>
    </row>
    <row r="117" spans="1:18" s="1" customFormat="1" ht="17">
      <c r="A117" s="31">
        <v>113</v>
      </c>
      <c r="B117" s="329" t="str">
        <f t="shared" si="1"/>
        <v>25ngFlpO_5ngSHRNA_-DOX_48hr</v>
      </c>
      <c r="C117" s="32">
        <v>25</v>
      </c>
      <c r="D117" s="32">
        <v>5</v>
      </c>
      <c r="E117" s="155" t="s">
        <v>214</v>
      </c>
      <c r="F117" s="32">
        <v>48</v>
      </c>
      <c r="G117" s="33">
        <v>1</v>
      </c>
      <c r="H117" s="33"/>
      <c r="I117" s="33" t="s">
        <v>463</v>
      </c>
      <c r="J117" s="33" t="s">
        <v>217</v>
      </c>
      <c r="K117" s="34" t="s">
        <v>424</v>
      </c>
      <c r="L117" s="157" t="s">
        <v>4</v>
      </c>
      <c r="M117" s="149" t="s">
        <v>841</v>
      </c>
      <c r="N117" s="166" t="s">
        <v>842</v>
      </c>
      <c r="O117" s="167" t="s">
        <v>843</v>
      </c>
      <c r="P117" s="40"/>
      <c r="Q117" s="40"/>
      <c r="R117" s="40"/>
    </row>
    <row r="118" spans="1:18" s="1" customFormat="1" ht="17">
      <c r="A118" s="31">
        <v>114</v>
      </c>
      <c r="B118" s="329" t="str">
        <f t="shared" si="1"/>
        <v>25ngFlpO_10ngSHRNA_-DOX_48hr</v>
      </c>
      <c r="C118" s="32">
        <v>25</v>
      </c>
      <c r="D118" s="32">
        <v>10</v>
      </c>
      <c r="E118" s="155" t="s">
        <v>214</v>
      </c>
      <c r="F118" s="32">
        <v>48</v>
      </c>
      <c r="G118" s="33">
        <v>1</v>
      </c>
      <c r="H118" s="33"/>
      <c r="I118" s="33" t="s">
        <v>463</v>
      </c>
      <c r="J118" s="33" t="s">
        <v>217</v>
      </c>
      <c r="K118" s="34" t="s">
        <v>425</v>
      </c>
      <c r="L118" s="157" t="s">
        <v>4</v>
      </c>
      <c r="M118" s="149" t="s">
        <v>844</v>
      </c>
      <c r="N118" s="166" t="s">
        <v>845</v>
      </c>
      <c r="O118" s="167" t="s">
        <v>846</v>
      </c>
      <c r="P118" s="40"/>
      <c r="Q118" s="40"/>
      <c r="R118" s="40"/>
    </row>
    <row r="119" spans="1:18" s="1" customFormat="1" ht="17">
      <c r="A119" s="31">
        <v>115</v>
      </c>
      <c r="B119" s="329" t="str">
        <f t="shared" si="1"/>
        <v>25ngFlpO_20ngSHRNA_-DOX_48hr</v>
      </c>
      <c r="C119" s="32">
        <v>25</v>
      </c>
      <c r="D119" s="32">
        <v>20</v>
      </c>
      <c r="E119" s="155" t="s">
        <v>214</v>
      </c>
      <c r="F119" s="32">
        <v>48</v>
      </c>
      <c r="G119" s="33">
        <v>1</v>
      </c>
      <c r="H119" s="33"/>
      <c r="I119" s="33" t="s">
        <v>463</v>
      </c>
      <c r="J119" s="33" t="s">
        <v>217</v>
      </c>
      <c r="K119" s="34" t="s">
        <v>426</v>
      </c>
      <c r="L119" s="157" t="s">
        <v>4</v>
      </c>
      <c r="M119" s="149" t="s">
        <v>847</v>
      </c>
      <c r="N119" s="166" t="s">
        <v>848</v>
      </c>
      <c r="O119" s="167" t="s">
        <v>849</v>
      </c>
      <c r="P119" s="40"/>
      <c r="Q119" s="40"/>
      <c r="R119" s="40"/>
    </row>
    <row r="120" spans="1:18" s="1" customFormat="1" ht="17">
      <c r="A120" s="31">
        <v>116</v>
      </c>
      <c r="B120" s="329" t="str">
        <f t="shared" si="1"/>
        <v>35ngFlpO_0ngSHRNA_-DOX_48hr</v>
      </c>
      <c r="C120" s="32">
        <v>35</v>
      </c>
      <c r="D120" s="32">
        <v>0</v>
      </c>
      <c r="E120" s="155" t="s">
        <v>214</v>
      </c>
      <c r="F120" s="32">
        <v>48</v>
      </c>
      <c r="G120" s="33">
        <v>1</v>
      </c>
      <c r="H120" s="33"/>
      <c r="I120" s="33" t="s">
        <v>463</v>
      </c>
      <c r="J120" s="33" t="s">
        <v>217</v>
      </c>
      <c r="K120" s="34" t="s">
        <v>427</v>
      </c>
      <c r="L120" s="157" t="s">
        <v>4</v>
      </c>
      <c r="M120" s="149" t="s">
        <v>850</v>
      </c>
      <c r="N120" s="166" t="s">
        <v>851</v>
      </c>
      <c r="O120" s="167" t="s">
        <v>852</v>
      </c>
      <c r="P120" s="40"/>
      <c r="Q120" s="40"/>
      <c r="R120" s="40"/>
    </row>
    <row r="121" spans="1:18" s="1" customFormat="1" ht="17">
      <c r="A121" s="31">
        <v>117</v>
      </c>
      <c r="B121" s="329" t="str">
        <f t="shared" si="1"/>
        <v>35ngFlpO_1ngSHRNA_-DOX_48hr</v>
      </c>
      <c r="C121" s="32">
        <v>35</v>
      </c>
      <c r="D121" s="32">
        <v>1</v>
      </c>
      <c r="E121" s="155" t="s">
        <v>214</v>
      </c>
      <c r="F121" s="32">
        <v>48</v>
      </c>
      <c r="G121" s="33">
        <v>1</v>
      </c>
      <c r="H121" s="33"/>
      <c r="I121" s="33" t="s">
        <v>463</v>
      </c>
      <c r="J121" s="33" t="s">
        <v>217</v>
      </c>
      <c r="K121" s="34" t="s">
        <v>428</v>
      </c>
      <c r="L121" s="157" t="s">
        <v>4</v>
      </c>
      <c r="M121" s="149" t="s">
        <v>853</v>
      </c>
      <c r="N121" s="166" t="s">
        <v>854</v>
      </c>
      <c r="O121" s="167" t="s">
        <v>855</v>
      </c>
      <c r="P121" s="40"/>
      <c r="Q121" s="40"/>
      <c r="R121" s="40"/>
    </row>
    <row r="122" spans="1:18" s="1" customFormat="1" ht="17">
      <c r="A122" s="31">
        <v>118</v>
      </c>
      <c r="B122" s="329" t="str">
        <f t="shared" si="1"/>
        <v>35ngFlpO_5ngSHRNA_-DOX_48hr</v>
      </c>
      <c r="C122" s="32">
        <v>35</v>
      </c>
      <c r="D122" s="32">
        <v>5</v>
      </c>
      <c r="E122" s="155" t="s">
        <v>214</v>
      </c>
      <c r="F122" s="32">
        <v>48</v>
      </c>
      <c r="G122" s="33">
        <v>1</v>
      </c>
      <c r="H122" s="33"/>
      <c r="I122" s="33" t="s">
        <v>463</v>
      </c>
      <c r="J122" s="33" t="s">
        <v>217</v>
      </c>
      <c r="K122" s="34" t="s">
        <v>429</v>
      </c>
      <c r="L122" s="157" t="s">
        <v>4</v>
      </c>
      <c r="M122" s="149" t="s">
        <v>856</v>
      </c>
      <c r="N122" s="166" t="s">
        <v>857</v>
      </c>
      <c r="O122" s="167" t="s">
        <v>858</v>
      </c>
      <c r="P122" s="40"/>
      <c r="Q122" s="40"/>
      <c r="R122" s="40"/>
    </row>
    <row r="123" spans="1:18" s="1" customFormat="1" ht="17">
      <c r="A123" s="31">
        <v>119</v>
      </c>
      <c r="B123" s="329" t="str">
        <f t="shared" si="1"/>
        <v>35ngFlpO_10ngSHRNA_-DOX_48hr</v>
      </c>
      <c r="C123" s="32">
        <v>35</v>
      </c>
      <c r="D123" s="32">
        <v>10</v>
      </c>
      <c r="E123" s="155" t="s">
        <v>214</v>
      </c>
      <c r="F123" s="32">
        <v>48</v>
      </c>
      <c r="G123" s="33">
        <v>1</v>
      </c>
      <c r="H123" s="33"/>
      <c r="I123" s="33" t="s">
        <v>463</v>
      </c>
      <c r="J123" s="33" t="s">
        <v>217</v>
      </c>
      <c r="K123" s="34" t="s">
        <v>430</v>
      </c>
      <c r="L123" s="157" t="s">
        <v>4</v>
      </c>
      <c r="M123" s="149" t="s">
        <v>859</v>
      </c>
      <c r="N123" s="166" t="s">
        <v>860</v>
      </c>
      <c r="O123" s="167" t="s">
        <v>861</v>
      </c>
      <c r="P123" s="40"/>
      <c r="Q123" s="40"/>
      <c r="R123" s="40"/>
    </row>
    <row r="124" spans="1:18" s="1" customFormat="1" ht="17">
      <c r="A124" s="31">
        <v>120</v>
      </c>
      <c r="B124" s="329" t="str">
        <f t="shared" si="1"/>
        <v>35ngFlpO_20ngSHRNA_-DOX_48hr</v>
      </c>
      <c r="C124" s="32">
        <v>35</v>
      </c>
      <c r="D124" s="32">
        <v>20</v>
      </c>
      <c r="E124" s="155" t="s">
        <v>214</v>
      </c>
      <c r="F124" s="32">
        <v>48</v>
      </c>
      <c r="G124" s="33">
        <v>1</v>
      </c>
      <c r="H124" s="33"/>
      <c r="I124" s="33" t="s">
        <v>463</v>
      </c>
      <c r="J124" s="33" t="s">
        <v>217</v>
      </c>
      <c r="K124" s="34" t="s">
        <v>431</v>
      </c>
      <c r="L124" s="157" t="s">
        <v>4</v>
      </c>
      <c r="M124" s="149" t="s">
        <v>862</v>
      </c>
      <c r="N124" s="166" t="s">
        <v>863</v>
      </c>
      <c r="O124" s="167" t="s">
        <v>864</v>
      </c>
      <c r="P124" s="40"/>
      <c r="Q124" s="40"/>
      <c r="R124" s="40"/>
    </row>
    <row r="125" spans="1:18" s="1" customFormat="1" ht="17">
      <c r="A125" s="31">
        <v>121</v>
      </c>
      <c r="B125" s="329" t="s">
        <v>1065</v>
      </c>
      <c r="C125" s="32"/>
      <c r="D125" s="32"/>
      <c r="E125" s="155"/>
      <c r="F125" s="32">
        <v>48</v>
      </c>
      <c r="G125" s="33">
        <v>1</v>
      </c>
      <c r="H125" s="33"/>
      <c r="I125" s="33" t="s">
        <v>463</v>
      </c>
      <c r="J125" s="33" t="s">
        <v>432</v>
      </c>
      <c r="K125" s="34" t="s">
        <v>433</v>
      </c>
      <c r="L125" s="157" t="s">
        <v>4</v>
      </c>
      <c r="M125" s="149" t="s">
        <v>865</v>
      </c>
      <c r="N125" s="166" t="s">
        <v>866</v>
      </c>
      <c r="O125" s="167" t="s">
        <v>867</v>
      </c>
      <c r="P125" s="40"/>
      <c r="Q125" s="40"/>
      <c r="R125" s="40"/>
    </row>
    <row r="126" spans="1:18" s="1" customFormat="1" ht="17">
      <c r="A126" s="31">
        <v>122</v>
      </c>
      <c r="B126" s="329" t="s">
        <v>1066</v>
      </c>
      <c r="C126" s="32"/>
      <c r="D126" s="32"/>
      <c r="E126" s="155"/>
      <c r="F126" s="32">
        <v>48</v>
      </c>
      <c r="G126" s="33">
        <v>1</v>
      </c>
      <c r="H126" s="33"/>
      <c r="I126" s="33" t="s">
        <v>463</v>
      </c>
      <c r="J126" s="33" t="s">
        <v>432</v>
      </c>
      <c r="K126" s="34" t="s">
        <v>434</v>
      </c>
      <c r="L126" s="157" t="s">
        <v>4</v>
      </c>
      <c r="M126" s="149" t="s">
        <v>868</v>
      </c>
      <c r="N126" s="166" t="s">
        <v>869</v>
      </c>
      <c r="O126" s="167" t="s">
        <v>870</v>
      </c>
      <c r="P126" s="40"/>
      <c r="Q126" s="40"/>
      <c r="R126" s="40"/>
    </row>
    <row r="127" spans="1:18" s="1" customFormat="1" ht="17">
      <c r="A127" s="31">
        <v>123</v>
      </c>
      <c r="B127" s="329" t="s">
        <v>1067</v>
      </c>
      <c r="C127" s="32"/>
      <c r="D127" s="32"/>
      <c r="E127" s="155"/>
      <c r="F127" s="32">
        <v>48</v>
      </c>
      <c r="G127" s="33">
        <v>1</v>
      </c>
      <c r="H127" s="33"/>
      <c r="I127" s="33" t="s">
        <v>463</v>
      </c>
      <c r="J127" s="33" t="s">
        <v>432</v>
      </c>
      <c r="K127" s="34" t="s">
        <v>435</v>
      </c>
      <c r="L127" s="157" t="s">
        <v>4</v>
      </c>
      <c r="M127" s="149" t="s">
        <v>871</v>
      </c>
      <c r="N127" s="166" t="s">
        <v>872</v>
      </c>
      <c r="O127" s="167" t="s">
        <v>873</v>
      </c>
      <c r="P127" s="40"/>
      <c r="Q127" s="40"/>
      <c r="R127" s="40"/>
    </row>
    <row r="128" spans="1:18" s="1" customFormat="1" ht="17">
      <c r="A128" s="31">
        <v>124</v>
      </c>
      <c r="B128" s="329" t="s">
        <v>1068</v>
      </c>
      <c r="C128" s="32"/>
      <c r="D128" s="32"/>
      <c r="E128" s="155"/>
      <c r="F128" s="32">
        <v>48</v>
      </c>
      <c r="G128" s="33">
        <v>1</v>
      </c>
      <c r="H128" s="33"/>
      <c r="I128" s="33" t="s">
        <v>463</v>
      </c>
      <c r="J128" s="33" t="s">
        <v>432</v>
      </c>
      <c r="K128" s="34" t="s">
        <v>436</v>
      </c>
      <c r="L128" s="157" t="s">
        <v>4</v>
      </c>
      <c r="M128" s="149" t="s">
        <v>874</v>
      </c>
      <c r="N128" s="166" t="s">
        <v>875</v>
      </c>
      <c r="O128" s="167" t="s">
        <v>876</v>
      </c>
      <c r="P128" s="40"/>
      <c r="Q128" s="40"/>
      <c r="R128" s="40"/>
    </row>
    <row r="129" spans="1:18" s="1" customFormat="1" ht="17">
      <c r="A129" s="31">
        <v>125</v>
      </c>
      <c r="B129" s="329" t="s">
        <v>1069</v>
      </c>
      <c r="C129" s="32"/>
      <c r="D129" s="32"/>
      <c r="E129" s="155"/>
      <c r="F129" s="32">
        <v>48</v>
      </c>
      <c r="G129" s="33">
        <v>1</v>
      </c>
      <c r="H129" s="33"/>
      <c r="I129" s="33" t="s">
        <v>463</v>
      </c>
      <c r="J129" s="33" t="s">
        <v>432</v>
      </c>
      <c r="K129" s="34" t="s">
        <v>437</v>
      </c>
      <c r="L129" s="157" t="s">
        <v>4</v>
      </c>
      <c r="M129" s="149" t="s">
        <v>877</v>
      </c>
      <c r="N129" s="166" t="s">
        <v>878</v>
      </c>
      <c r="O129" s="167" t="s">
        <v>879</v>
      </c>
      <c r="P129" s="40"/>
      <c r="Q129" s="40"/>
      <c r="R129" s="40"/>
    </row>
    <row r="130" spans="1:18" s="1" customFormat="1" ht="17">
      <c r="A130" s="31">
        <v>126</v>
      </c>
      <c r="B130" s="329" t="s">
        <v>1070</v>
      </c>
      <c r="C130" s="32"/>
      <c r="D130" s="32"/>
      <c r="E130" s="155"/>
      <c r="F130" s="32">
        <v>48</v>
      </c>
      <c r="G130" s="33">
        <v>1</v>
      </c>
      <c r="H130" s="33"/>
      <c r="I130" s="33" t="s">
        <v>462</v>
      </c>
      <c r="J130" s="33" t="s">
        <v>450</v>
      </c>
      <c r="K130" s="34" t="s">
        <v>464</v>
      </c>
      <c r="L130" s="157" t="s">
        <v>4</v>
      </c>
      <c r="M130" s="149" t="s">
        <v>880</v>
      </c>
      <c r="N130" s="150"/>
      <c r="O130" s="151"/>
      <c r="P130" s="40"/>
      <c r="Q130" s="40"/>
      <c r="R130" s="40"/>
    </row>
    <row r="131" spans="1:18" s="1" customFormat="1" ht="17">
      <c r="A131" s="31">
        <v>127</v>
      </c>
      <c r="B131" s="329" t="str">
        <f t="shared" ref="B131:B157" si="2">CONCATENATE(C131,"ngFlpO_",D131,"ngSHRNA_",E131,"DOX_",F131,"hr")</f>
        <v>5ngFlpO_0ngSHRNA_+DOX_96hr</v>
      </c>
      <c r="C131" s="32">
        <v>5</v>
      </c>
      <c r="D131" s="32">
        <v>0</v>
      </c>
      <c r="E131" s="155" t="s">
        <v>213</v>
      </c>
      <c r="F131" s="32">
        <v>96</v>
      </c>
      <c r="G131" s="33">
        <v>1</v>
      </c>
      <c r="H131" s="33"/>
      <c r="I131" s="33" t="s">
        <v>465</v>
      </c>
      <c r="J131" s="33" t="s">
        <v>217</v>
      </c>
      <c r="K131" s="34" t="s">
        <v>424</v>
      </c>
      <c r="L131" s="157" t="s">
        <v>4</v>
      </c>
      <c r="M131" s="149" t="s">
        <v>881</v>
      </c>
      <c r="N131" s="166" t="s">
        <v>882</v>
      </c>
      <c r="O131" s="167" t="s">
        <v>883</v>
      </c>
      <c r="P131" s="40"/>
      <c r="Q131" s="40"/>
      <c r="R131" s="40"/>
    </row>
    <row r="132" spans="1:18" s="1" customFormat="1" ht="17">
      <c r="A132" s="31">
        <v>128</v>
      </c>
      <c r="B132" s="329" t="str">
        <f t="shared" si="2"/>
        <v>5ngFlpO_1ngSHRNA_+DOX_96hr</v>
      </c>
      <c r="C132" s="32">
        <v>5</v>
      </c>
      <c r="D132" s="32">
        <v>1</v>
      </c>
      <c r="E132" s="155" t="s">
        <v>213</v>
      </c>
      <c r="F132" s="32">
        <v>96</v>
      </c>
      <c r="G132" s="33">
        <v>1</v>
      </c>
      <c r="H132" s="33"/>
      <c r="I132" s="33" t="s">
        <v>465</v>
      </c>
      <c r="J132" s="33" t="s">
        <v>217</v>
      </c>
      <c r="K132" s="34" t="s">
        <v>425</v>
      </c>
      <c r="L132" s="157" t="s">
        <v>4</v>
      </c>
      <c r="M132" s="149" t="s">
        <v>884</v>
      </c>
      <c r="N132" s="166" t="s">
        <v>885</v>
      </c>
      <c r="O132" s="167" t="s">
        <v>886</v>
      </c>
      <c r="P132" s="40"/>
      <c r="Q132" s="40"/>
      <c r="R132" s="40"/>
    </row>
    <row r="133" spans="1:18" s="1" customFormat="1" ht="17">
      <c r="A133" s="31">
        <v>129</v>
      </c>
      <c r="B133" s="329" t="str">
        <f t="shared" si="2"/>
        <v>5ngFlpO_5ngSHRNA_+DOX_96hr</v>
      </c>
      <c r="C133" s="32">
        <v>5</v>
      </c>
      <c r="D133" s="32">
        <v>5</v>
      </c>
      <c r="E133" s="155" t="s">
        <v>213</v>
      </c>
      <c r="F133" s="32">
        <v>96</v>
      </c>
      <c r="G133" s="33">
        <v>1</v>
      </c>
      <c r="H133" s="33"/>
      <c r="I133" s="33" t="s">
        <v>465</v>
      </c>
      <c r="J133" s="33" t="s">
        <v>217</v>
      </c>
      <c r="K133" s="34" t="s">
        <v>426</v>
      </c>
      <c r="L133" s="157" t="s">
        <v>4</v>
      </c>
      <c r="M133" s="149" t="s">
        <v>887</v>
      </c>
      <c r="N133" s="166" t="s">
        <v>888</v>
      </c>
      <c r="O133" s="167" t="s">
        <v>889</v>
      </c>
      <c r="P133" s="40"/>
      <c r="Q133" s="40"/>
      <c r="R133" s="40"/>
    </row>
    <row r="134" spans="1:18" s="1" customFormat="1" ht="17">
      <c r="A134" s="31">
        <v>130</v>
      </c>
      <c r="B134" s="329" t="str">
        <f t="shared" si="2"/>
        <v>5ngFlpO_10ngSHRNA_+DOX_96hr</v>
      </c>
      <c r="C134" s="32">
        <v>5</v>
      </c>
      <c r="D134" s="32">
        <v>10</v>
      </c>
      <c r="E134" s="155" t="s">
        <v>213</v>
      </c>
      <c r="F134" s="32">
        <v>96</v>
      </c>
      <c r="G134" s="33">
        <v>1</v>
      </c>
      <c r="H134" s="33"/>
      <c r="I134" s="33" t="s">
        <v>465</v>
      </c>
      <c r="J134" s="33" t="s">
        <v>217</v>
      </c>
      <c r="K134" s="34" t="s">
        <v>427</v>
      </c>
      <c r="L134" s="157" t="s">
        <v>4</v>
      </c>
      <c r="M134" s="149" t="s">
        <v>890</v>
      </c>
      <c r="N134" s="166" t="s">
        <v>891</v>
      </c>
      <c r="O134" s="167" t="s">
        <v>892</v>
      </c>
      <c r="P134" s="40"/>
      <c r="Q134" s="40"/>
      <c r="R134" s="40"/>
    </row>
    <row r="135" spans="1:18" s="1" customFormat="1" ht="17">
      <c r="A135" s="31">
        <v>131</v>
      </c>
      <c r="B135" s="329" t="str">
        <f t="shared" si="2"/>
        <v>5ngFlpO_20ngSHRNA_+DOX_96hr</v>
      </c>
      <c r="C135" s="32">
        <v>5</v>
      </c>
      <c r="D135" s="32">
        <v>20</v>
      </c>
      <c r="E135" s="155" t="s">
        <v>213</v>
      </c>
      <c r="F135" s="32">
        <v>96</v>
      </c>
      <c r="G135" s="33">
        <v>1</v>
      </c>
      <c r="H135" s="33"/>
      <c r="I135" s="33" t="s">
        <v>465</v>
      </c>
      <c r="J135" s="33" t="s">
        <v>217</v>
      </c>
      <c r="K135" s="34" t="s">
        <v>428</v>
      </c>
      <c r="L135" s="157" t="s">
        <v>4</v>
      </c>
      <c r="M135" s="149" t="s">
        <v>893</v>
      </c>
      <c r="N135" s="166" t="s">
        <v>894</v>
      </c>
      <c r="O135" s="167" t="s">
        <v>895</v>
      </c>
      <c r="P135" s="40"/>
      <c r="Q135" s="40"/>
      <c r="R135" s="40"/>
    </row>
    <row r="136" spans="1:18" s="1" customFormat="1" ht="17">
      <c r="A136" s="31">
        <v>132</v>
      </c>
      <c r="B136" s="329" t="str">
        <f t="shared" si="2"/>
        <v>15ngFlpO_0ngSHRNA_+DOX_96hr</v>
      </c>
      <c r="C136" s="32">
        <v>15</v>
      </c>
      <c r="D136" s="32">
        <v>0</v>
      </c>
      <c r="E136" s="155" t="s">
        <v>213</v>
      </c>
      <c r="F136" s="32">
        <v>96</v>
      </c>
      <c r="G136" s="33">
        <v>1</v>
      </c>
      <c r="H136" s="33"/>
      <c r="I136" s="33" t="s">
        <v>465</v>
      </c>
      <c r="J136" s="33" t="s">
        <v>217</v>
      </c>
      <c r="K136" s="34" t="s">
        <v>429</v>
      </c>
      <c r="L136" s="157" t="s">
        <v>4</v>
      </c>
      <c r="M136" s="149" t="s">
        <v>896</v>
      </c>
      <c r="N136" s="166" t="s">
        <v>897</v>
      </c>
      <c r="O136" s="167" t="s">
        <v>898</v>
      </c>
      <c r="P136" s="40"/>
      <c r="Q136" s="40"/>
      <c r="R136" s="40"/>
    </row>
    <row r="137" spans="1:18" s="1" customFormat="1" ht="17">
      <c r="A137" s="31">
        <v>133</v>
      </c>
      <c r="B137" s="329" t="str">
        <f t="shared" si="2"/>
        <v>15ngFlpO_1ngSHRNA_+DOX_96hr</v>
      </c>
      <c r="C137" s="32">
        <v>15</v>
      </c>
      <c r="D137" s="32">
        <v>1</v>
      </c>
      <c r="E137" s="155" t="s">
        <v>213</v>
      </c>
      <c r="F137" s="32">
        <v>96</v>
      </c>
      <c r="G137" s="33">
        <v>1</v>
      </c>
      <c r="H137" s="33"/>
      <c r="I137" s="33" t="s">
        <v>465</v>
      </c>
      <c r="J137" s="33" t="s">
        <v>217</v>
      </c>
      <c r="K137" s="34" t="s">
        <v>430</v>
      </c>
      <c r="L137" s="157" t="s">
        <v>4</v>
      </c>
      <c r="M137" s="149" t="s">
        <v>899</v>
      </c>
      <c r="N137" s="166" t="s">
        <v>900</v>
      </c>
      <c r="O137" s="167" t="s">
        <v>901</v>
      </c>
      <c r="P137" s="40"/>
      <c r="Q137" s="40"/>
      <c r="R137" s="40"/>
    </row>
    <row r="138" spans="1:18" s="1" customFormat="1" ht="17">
      <c r="A138" s="31">
        <v>134</v>
      </c>
      <c r="B138" s="329" t="str">
        <f t="shared" si="2"/>
        <v>15ngFlpO_5ngSHRNA_+DOX_96hr</v>
      </c>
      <c r="C138" s="32">
        <v>15</v>
      </c>
      <c r="D138" s="32">
        <v>5</v>
      </c>
      <c r="E138" s="155" t="s">
        <v>213</v>
      </c>
      <c r="F138" s="32">
        <v>96</v>
      </c>
      <c r="G138" s="33">
        <v>1</v>
      </c>
      <c r="H138" s="33"/>
      <c r="I138" s="33" t="s">
        <v>465</v>
      </c>
      <c r="J138" s="33" t="s">
        <v>217</v>
      </c>
      <c r="K138" s="34" t="s">
        <v>431</v>
      </c>
      <c r="L138" s="157" t="s">
        <v>4</v>
      </c>
      <c r="M138" s="149" t="s">
        <v>902</v>
      </c>
      <c r="N138" s="166" t="s">
        <v>903</v>
      </c>
      <c r="O138" s="167" t="s">
        <v>904</v>
      </c>
      <c r="P138" s="40"/>
      <c r="Q138" s="40"/>
      <c r="R138" s="40"/>
    </row>
    <row r="139" spans="1:18" s="1" customFormat="1" ht="17">
      <c r="A139" s="31">
        <v>135</v>
      </c>
      <c r="B139" s="329" t="str">
        <f t="shared" si="2"/>
        <v>15ngFlpO_10ngSHRNA_+DOX_96hr</v>
      </c>
      <c r="C139" s="32">
        <v>15</v>
      </c>
      <c r="D139" s="32">
        <v>10</v>
      </c>
      <c r="E139" s="155" t="s">
        <v>213</v>
      </c>
      <c r="F139" s="32">
        <v>96</v>
      </c>
      <c r="G139" s="33">
        <v>1</v>
      </c>
      <c r="H139" s="33"/>
      <c r="I139" s="33" t="s">
        <v>465</v>
      </c>
      <c r="J139" s="33" t="s">
        <v>432</v>
      </c>
      <c r="K139" s="34" t="s">
        <v>433</v>
      </c>
      <c r="L139" s="157" t="s">
        <v>4</v>
      </c>
      <c r="M139" s="149" t="s">
        <v>905</v>
      </c>
      <c r="N139" s="166" t="s">
        <v>906</v>
      </c>
      <c r="O139" s="167" t="s">
        <v>907</v>
      </c>
      <c r="P139" s="40"/>
      <c r="Q139" s="40"/>
      <c r="R139" s="40"/>
    </row>
    <row r="140" spans="1:18" s="1" customFormat="1" ht="17">
      <c r="A140" s="31">
        <v>136</v>
      </c>
      <c r="B140" s="329" t="str">
        <f t="shared" si="2"/>
        <v>15ngFlpO_20ngSHRNA_+DOX_96hr</v>
      </c>
      <c r="C140" s="32">
        <v>15</v>
      </c>
      <c r="D140" s="32">
        <v>20</v>
      </c>
      <c r="E140" s="155" t="s">
        <v>213</v>
      </c>
      <c r="F140" s="32">
        <v>96</v>
      </c>
      <c r="G140" s="33">
        <v>1</v>
      </c>
      <c r="H140" s="33"/>
      <c r="I140" s="33" t="s">
        <v>465</v>
      </c>
      <c r="J140" s="33" t="s">
        <v>432</v>
      </c>
      <c r="K140" s="34" t="s">
        <v>434</v>
      </c>
      <c r="L140" s="157" t="s">
        <v>4</v>
      </c>
      <c r="M140" s="149" t="s">
        <v>908</v>
      </c>
      <c r="N140" s="166" t="s">
        <v>909</v>
      </c>
      <c r="O140" s="167" t="s">
        <v>910</v>
      </c>
      <c r="P140" s="40"/>
      <c r="Q140" s="40"/>
      <c r="R140" s="40"/>
    </row>
    <row r="141" spans="1:18" s="1" customFormat="1" ht="17">
      <c r="A141" s="31">
        <v>137</v>
      </c>
      <c r="B141" s="329" t="str">
        <f t="shared" si="2"/>
        <v>25ngFlpO_0ngSHRNA_+DOX_96hr</v>
      </c>
      <c r="C141" s="32">
        <v>25</v>
      </c>
      <c r="D141" s="32">
        <v>0</v>
      </c>
      <c r="E141" s="155" t="s">
        <v>213</v>
      </c>
      <c r="F141" s="32">
        <v>96</v>
      </c>
      <c r="G141" s="33">
        <v>1</v>
      </c>
      <c r="H141" s="33"/>
      <c r="I141" s="33" t="s">
        <v>465</v>
      </c>
      <c r="J141" s="33" t="s">
        <v>432</v>
      </c>
      <c r="K141" s="34" t="s">
        <v>435</v>
      </c>
      <c r="L141" s="157" t="s">
        <v>4</v>
      </c>
      <c r="M141" s="149" t="s">
        <v>911</v>
      </c>
      <c r="N141" s="166" t="s">
        <v>912</v>
      </c>
      <c r="O141" s="167" t="s">
        <v>913</v>
      </c>
      <c r="P141" s="40"/>
      <c r="Q141" s="40"/>
      <c r="R141" s="40"/>
    </row>
    <row r="142" spans="1:18" s="1" customFormat="1" ht="17">
      <c r="A142" s="31">
        <v>138</v>
      </c>
      <c r="B142" s="329" t="str">
        <f t="shared" si="2"/>
        <v>25ngFlpO_1ngSHRNA_+DOX_96hr</v>
      </c>
      <c r="C142" s="32">
        <v>25</v>
      </c>
      <c r="D142" s="32">
        <v>1</v>
      </c>
      <c r="E142" s="155" t="s">
        <v>213</v>
      </c>
      <c r="F142" s="32">
        <v>96</v>
      </c>
      <c r="G142" s="33">
        <v>1</v>
      </c>
      <c r="H142" s="33"/>
      <c r="I142" s="33" t="s">
        <v>465</v>
      </c>
      <c r="J142" s="33" t="s">
        <v>432</v>
      </c>
      <c r="K142" s="34" t="s">
        <v>436</v>
      </c>
      <c r="L142" s="157" t="s">
        <v>4</v>
      </c>
      <c r="M142" s="149" t="s">
        <v>914</v>
      </c>
      <c r="N142" s="166" t="s">
        <v>915</v>
      </c>
      <c r="O142" s="167" t="s">
        <v>916</v>
      </c>
      <c r="P142" s="40"/>
      <c r="Q142" s="40"/>
      <c r="R142" s="40"/>
    </row>
    <row r="143" spans="1:18" s="1" customFormat="1" ht="17">
      <c r="A143" s="31">
        <v>139</v>
      </c>
      <c r="B143" s="329" t="str">
        <f t="shared" si="2"/>
        <v>25ngFlpO_5ngSHRNA_+DOX_96hr</v>
      </c>
      <c r="C143" s="32">
        <v>25</v>
      </c>
      <c r="D143" s="32">
        <v>5</v>
      </c>
      <c r="E143" s="155" t="s">
        <v>213</v>
      </c>
      <c r="F143" s="32">
        <v>96</v>
      </c>
      <c r="G143" s="33">
        <v>1</v>
      </c>
      <c r="H143" s="33"/>
      <c r="I143" s="33" t="s">
        <v>465</v>
      </c>
      <c r="J143" s="33" t="s">
        <v>432</v>
      </c>
      <c r="K143" s="34" t="s">
        <v>437</v>
      </c>
      <c r="L143" s="157" t="s">
        <v>4</v>
      </c>
      <c r="M143" s="149" t="s">
        <v>917</v>
      </c>
      <c r="N143" s="166" t="s">
        <v>918</v>
      </c>
      <c r="O143" s="167" t="s">
        <v>919</v>
      </c>
      <c r="P143" s="40"/>
      <c r="Q143" s="40"/>
      <c r="R143" s="40"/>
    </row>
    <row r="144" spans="1:18" s="1" customFormat="1" ht="17">
      <c r="A144" s="31">
        <v>140</v>
      </c>
      <c r="B144" s="329" t="str">
        <f t="shared" si="2"/>
        <v>25ngFlpO_10ngSHRNA_+DOX_96hr</v>
      </c>
      <c r="C144" s="32">
        <v>25</v>
      </c>
      <c r="D144" s="32">
        <v>10</v>
      </c>
      <c r="E144" s="155" t="s">
        <v>213</v>
      </c>
      <c r="F144" s="32">
        <v>96</v>
      </c>
      <c r="G144" s="33">
        <v>1</v>
      </c>
      <c r="H144" s="33"/>
      <c r="I144" s="33" t="s">
        <v>465</v>
      </c>
      <c r="J144" s="33" t="s">
        <v>432</v>
      </c>
      <c r="K144" s="34" t="s">
        <v>438</v>
      </c>
      <c r="L144" s="157" t="s">
        <v>4</v>
      </c>
      <c r="M144" s="149" t="s">
        <v>920</v>
      </c>
      <c r="N144" s="166" t="s">
        <v>921</v>
      </c>
      <c r="O144" s="167" t="s">
        <v>922</v>
      </c>
      <c r="P144" s="40"/>
      <c r="Q144" s="40"/>
      <c r="R144" s="40"/>
    </row>
    <row r="145" spans="1:18" s="1" customFormat="1" ht="17">
      <c r="A145" s="31">
        <v>141</v>
      </c>
      <c r="B145" s="329" t="str">
        <f t="shared" si="2"/>
        <v>25ngFlpO_20ngSHRNA_+DOX_96hr</v>
      </c>
      <c r="C145" s="32">
        <v>25</v>
      </c>
      <c r="D145" s="32">
        <v>20</v>
      </c>
      <c r="E145" s="155" t="s">
        <v>213</v>
      </c>
      <c r="F145" s="32">
        <v>96</v>
      </c>
      <c r="G145" s="33">
        <v>1</v>
      </c>
      <c r="H145" s="33"/>
      <c r="I145" s="33" t="s">
        <v>465</v>
      </c>
      <c r="J145" s="33" t="s">
        <v>432</v>
      </c>
      <c r="K145" s="34" t="s">
        <v>439</v>
      </c>
      <c r="L145" s="157" t="s">
        <v>4</v>
      </c>
      <c r="M145" s="149" t="s">
        <v>923</v>
      </c>
      <c r="N145" s="166" t="s">
        <v>924</v>
      </c>
      <c r="O145" s="167" t="s">
        <v>925</v>
      </c>
      <c r="P145" s="40"/>
      <c r="Q145" s="40"/>
      <c r="R145" s="40"/>
    </row>
    <row r="146" spans="1:18" s="1" customFormat="1" ht="17">
      <c r="A146" s="31">
        <v>142</v>
      </c>
      <c r="B146" s="329" t="str">
        <f t="shared" si="2"/>
        <v>35ngFlpO_0ngSHRNA_+DOX_96hr</v>
      </c>
      <c r="C146" s="32">
        <v>35</v>
      </c>
      <c r="D146" s="32">
        <v>0</v>
      </c>
      <c r="E146" s="155" t="s">
        <v>213</v>
      </c>
      <c r="F146" s="32">
        <v>96</v>
      </c>
      <c r="G146" s="33">
        <v>1</v>
      </c>
      <c r="H146" s="33"/>
      <c r="I146" s="33" t="s">
        <v>465</v>
      </c>
      <c r="J146" s="33" t="s">
        <v>432</v>
      </c>
      <c r="K146" s="34" t="s">
        <v>440</v>
      </c>
      <c r="L146" s="157" t="s">
        <v>4</v>
      </c>
      <c r="M146" s="117" t="s">
        <v>926</v>
      </c>
      <c r="N146" s="168" t="s">
        <v>927</v>
      </c>
      <c r="O146" s="169" t="s">
        <v>928</v>
      </c>
      <c r="P146" s="40"/>
      <c r="Q146" s="40"/>
      <c r="R146" s="40"/>
    </row>
    <row r="147" spans="1:18" s="1" customFormat="1" ht="17">
      <c r="A147" s="31">
        <v>143</v>
      </c>
      <c r="B147" s="329" t="str">
        <f t="shared" si="2"/>
        <v>35ngFlpO_1ngSHRNA_+DOX_96hr</v>
      </c>
      <c r="C147" s="32">
        <v>35</v>
      </c>
      <c r="D147" s="32">
        <v>1</v>
      </c>
      <c r="E147" s="155" t="s">
        <v>213</v>
      </c>
      <c r="F147" s="32">
        <v>96</v>
      </c>
      <c r="G147" s="33">
        <v>1</v>
      </c>
      <c r="H147" s="33"/>
      <c r="I147" s="33" t="s">
        <v>465</v>
      </c>
      <c r="J147" s="33" t="s">
        <v>441</v>
      </c>
      <c r="K147" s="34" t="s">
        <v>442</v>
      </c>
      <c r="L147" s="157" t="s">
        <v>4</v>
      </c>
      <c r="M147" s="117" t="s">
        <v>929</v>
      </c>
      <c r="N147" s="168" t="s">
        <v>930</v>
      </c>
      <c r="O147" s="169" t="s">
        <v>931</v>
      </c>
      <c r="P147" s="40"/>
      <c r="Q147" s="40"/>
      <c r="R147" s="40"/>
    </row>
    <row r="148" spans="1:18" s="1" customFormat="1" ht="17">
      <c r="A148" s="31">
        <v>144</v>
      </c>
      <c r="B148" s="329" t="str">
        <f t="shared" si="2"/>
        <v>35ngFlpO_5ngSHRNA_+DOX_96hr</v>
      </c>
      <c r="C148" s="32">
        <v>35</v>
      </c>
      <c r="D148" s="32">
        <v>5</v>
      </c>
      <c r="E148" s="155" t="s">
        <v>213</v>
      </c>
      <c r="F148" s="32">
        <v>96</v>
      </c>
      <c r="G148" s="33">
        <v>1</v>
      </c>
      <c r="H148" s="33"/>
      <c r="I148" s="33" t="s">
        <v>465</v>
      </c>
      <c r="J148" s="33" t="s">
        <v>441</v>
      </c>
      <c r="K148" s="34" t="s">
        <v>443</v>
      </c>
      <c r="L148" s="157" t="s">
        <v>4</v>
      </c>
      <c r="M148" s="117" t="s">
        <v>932</v>
      </c>
      <c r="N148" s="168" t="s">
        <v>933</v>
      </c>
      <c r="O148" s="169" t="s">
        <v>934</v>
      </c>
      <c r="P148" s="40"/>
      <c r="Q148" s="40"/>
      <c r="R148" s="40"/>
    </row>
    <row r="149" spans="1:18" s="1" customFormat="1" ht="17">
      <c r="A149" s="31">
        <v>145</v>
      </c>
      <c r="B149" s="329" t="str">
        <f t="shared" si="2"/>
        <v>35ngFlpO_10ngSHRNA_+DOX_96hr</v>
      </c>
      <c r="C149" s="32">
        <v>35</v>
      </c>
      <c r="D149" s="32">
        <v>10</v>
      </c>
      <c r="E149" s="155" t="s">
        <v>213</v>
      </c>
      <c r="F149" s="32">
        <v>96</v>
      </c>
      <c r="G149" s="33">
        <v>1</v>
      </c>
      <c r="H149" s="33"/>
      <c r="I149" s="33" t="s">
        <v>465</v>
      </c>
      <c r="J149" s="33" t="s">
        <v>441</v>
      </c>
      <c r="K149" s="34" t="s">
        <v>444</v>
      </c>
      <c r="L149" s="157" t="s">
        <v>4</v>
      </c>
      <c r="M149" s="117" t="s">
        <v>935</v>
      </c>
      <c r="N149" s="168" t="s">
        <v>936</v>
      </c>
      <c r="O149" s="169" t="s">
        <v>937</v>
      </c>
      <c r="P149" s="40"/>
      <c r="Q149" s="40"/>
      <c r="R149" s="40"/>
    </row>
    <row r="150" spans="1:18" s="1" customFormat="1" ht="17">
      <c r="A150" s="31">
        <v>146</v>
      </c>
      <c r="B150" s="329" t="str">
        <f t="shared" si="2"/>
        <v>35ngFlpO_20ngSHRNA_+DOX_96hr</v>
      </c>
      <c r="C150" s="32">
        <v>35</v>
      </c>
      <c r="D150" s="32">
        <v>20</v>
      </c>
      <c r="E150" s="155" t="s">
        <v>213</v>
      </c>
      <c r="F150" s="32">
        <v>96</v>
      </c>
      <c r="G150" s="33">
        <v>1</v>
      </c>
      <c r="H150" s="33"/>
      <c r="I150" s="33" t="s">
        <v>465</v>
      </c>
      <c r="J150" s="33" t="s">
        <v>441</v>
      </c>
      <c r="K150" s="34" t="s">
        <v>445</v>
      </c>
      <c r="L150" s="157" t="s">
        <v>4</v>
      </c>
      <c r="M150" s="117" t="s">
        <v>938</v>
      </c>
      <c r="N150" s="168" t="s">
        <v>939</v>
      </c>
      <c r="O150" s="169" t="s">
        <v>940</v>
      </c>
      <c r="P150" s="40"/>
      <c r="Q150" s="40"/>
      <c r="R150" s="40"/>
    </row>
    <row r="151" spans="1:18" s="1" customFormat="1" ht="17">
      <c r="A151" s="31">
        <v>147</v>
      </c>
      <c r="B151" s="329" t="str">
        <f t="shared" si="2"/>
        <v>5ngFlpO_0ngSHRNA_-DOX_96hr</v>
      </c>
      <c r="C151" s="32">
        <v>5</v>
      </c>
      <c r="D151" s="32">
        <v>0</v>
      </c>
      <c r="E151" s="155" t="s">
        <v>214</v>
      </c>
      <c r="F151" s="32">
        <v>96</v>
      </c>
      <c r="G151" s="33">
        <v>1</v>
      </c>
      <c r="H151" s="33"/>
      <c r="I151" s="33" t="s">
        <v>465</v>
      </c>
      <c r="J151" s="33" t="s">
        <v>441</v>
      </c>
      <c r="K151" s="34" t="s">
        <v>446</v>
      </c>
      <c r="L151" s="157" t="s">
        <v>4</v>
      </c>
      <c r="M151" s="117" t="s">
        <v>941</v>
      </c>
      <c r="N151" s="168" t="s">
        <v>942</v>
      </c>
      <c r="O151" s="169" t="s">
        <v>943</v>
      </c>
      <c r="P151" s="40"/>
      <c r="Q151" s="40"/>
      <c r="R151" s="40"/>
    </row>
    <row r="152" spans="1:18" s="1" customFormat="1" ht="17">
      <c r="A152" s="31">
        <v>148</v>
      </c>
      <c r="B152" s="329" t="str">
        <f t="shared" si="2"/>
        <v>5ngFlpO_1ngSHRNA_-DOX_96hr</v>
      </c>
      <c r="C152" s="32">
        <v>5</v>
      </c>
      <c r="D152" s="32">
        <v>1</v>
      </c>
      <c r="E152" s="155" t="s">
        <v>214</v>
      </c>
      <c r="F152" s="32">
        <v>96</v>
      </c>
      <c r="G152" s="33">
        <v>1</v>
      </c>
      <c r="H152" s="33"/>
      <c r="I152" s="33" t="s">
        <v>465</v>
      </c>
      <c r="J152" s="33" t="s">
        <v>441</v>
      </c>
      <c r="K152" s="34" t="s">
        <v>447</v>
      </c>
      <c r="L152" s="157" t="s">
        <v>4</v>
      </c>
      <c r="M152" s="117" t="s">
        <v>944</v>
      </c>
      <c r="N152" s="168" t="s">
        <v>945</v>
      </c>
      <c r="O152" s="169" t="s">
        <v>946</v>
      </c>
      <c r="P152" s="40"/>
      <c r="Q152" s="40"/>
      <c r="R152" s="40"/>
    </row>
    <row r="153" spans="1:18" s="1" customFormat="1" ht="17">
      <c r="A153" s="31">
        <v>149</v>
      </c>
      <c r="B153" s="329" t="str">
        <f t="shared" si="2"/>
        <v>5ngFlpO_5ngSHRNA_-DOX_96hr</v>
      </c>
      <c r="C153" s="32">
        <v>5</v>
      </c>
      <c r="D153" s="32">
        <v>5</v>
      </c>
      <c r="E153" s="155" t="s">
        <v>214</v>
      </c>
      <c r="F153" s="32">
        <v>96</v>
      </c>
      <c r="G153" s="33">
        <v>1</v>
      </c>
      <c r="H153" s="33"/>
      <c r="I153" s="33" t="s">
        <v>465</v>
      </c>
      <c r="J153" s="33" t="s">
        <v>441</v>
      </c>
      <c r="K153" s="34" t="s">
        <v>448</v>
      </c>
      <c r="L153" s="157" t="s">
        <v>4</v>
      </c>
      <c r="M153" s="117" t="s">
        <v>947</v>
      </c>
      <c r="N153" s="168" t="s">
        <v>948</v>
      </c>
      <c r="O153" s="169" t="s">
        <v>949</v>
      </c>
      <c r="P153" s="40"/>
      <c r="Q153" s="40"/>
      <c r="R153" s="40"/>
    </row>
    <row r="154" spans="1:18" s="1" customFormat="1" ht="17">
      <c r="A154" s="31">
        <v>150</v>
      </c>
      <c r="B154" s="329" t="str">
        <f t="shared" si="2"/>
        <v>5ngFlpO_10ngSHRNA_-DOX_96hr</v>
      </c>
      <c r="C154" s="32">
        <v>5</v>
      </c>
      <c r="D154" s="32">
        <v>10</v>
      </c>
      <c r="E154" s="155" t="s">
        <v>214</v>
      </c>
      <c r="F154" s="32">
        <v>96</v>
      </c>
      <c r="G154" s="33">
        <v>1</v>
      </c>
      <c r="H154" s="33"/>
      <c r="I154" s="33" t="s">
        <v>465</v>
      </c>
      <c r="J154" s="33" t="s">
        <v>441</v>
      </c>
      <c r="K154" s="34" t="s">
        <v>449</v>
      </c>
      <c r="L154" s="157" t="s">
        <v>4</v>
      </c>
      <c r="M154" s="117" t="s">
        <v>950</v>
      </c>
      <c r="N154" s="168" t="s">
        <v>951</v>
      </c>
      <c r="O154" s="169" t="s">
        <v>952</v>
      </c>
      <c r="P154" s="40"/>
      <c r="Q154" s="40"/>
      <c r="R154" s="40"/>
    </row>
    <row r="155" spans="1:18" s="1" customFormat="1" ht="17">
      <c r="A155" s="31">
        <v>151</v>
      </c>
      <c r="B155" s="329" t="str">
        <f t="shared" si="2"/>
        <v>5ngFlpO_20ngSHRNA_-DOX_96hr</v>
      </c>
      <c r="C155" s="32">
        <v>5</v>
      </c>
      <c r="D155" s="32">
        <v>20</v>
      </c>
      <c r="E155" s="155" t="s">
        <v>214</v>
      </c>
      <c r="F155" s="32">
        <v>96</v>
      </c>
      <c r="G155" s="33">
        <v>1</v>
      </c>
      <c r="H155" s="33"/>
      <c r="I155" s="33" t="s">
        <v>465</v>
      </c>
      <c r="J155" s="33" t="s">
        <v>450</v>
      </c>
      <c r="K155" s="34" t="s">
        <v>451</v>
      </c>
      <c r="L155" s="157" t="s">
        <v>4</v>
      </c>
      <c r="M155" s="117" t="s">
        <v>953</v>
      </c>
      <c r="N155" s="168" t="s">
        <v>954</v>
      </c>
      <c r="O155" s="169" t="s">
        <v>955</v>
      </c>
      <c r="P155" s="40"/>
      <c r="Q155" s="40"/>
      <c r="R155" s="40"/>
    </row>
    <row r="156" spans="1:18" s="1" customFormat="1" ht="17">
      <c r="A156" s="31">
        <v>152</v>
      </c>
      <c r="B156" s="329" t="str">
        <f t="shared" si="2"/>
        <v>15ngFlpO_0ngSHRNA_-DOX_96hr</v>
      </c>
      <c r="C156" s="32">
        <v>15</v>
      </c>
      <c r="D156" s="32">
        <v>0</v>
      </c>
      <c r="E156" s="155" t="s">
        <v>214</v>
      </c>
      <c r="F156" s="32">
        <v>96</v>
      </c>
      <c r="G156" s="33">
        <v>1</v>
      </c>
      <c r="H156" s="33"/>
      <c r="I156" s="33" t="s">
        <v>465</v>
      </c>
      <c r="J156" s="33" t="s">
        <v>450</v>
      </c>
      <c r="K156" s="34" t="s">
        <v>452</v>
      </c>
      <c r="L156" s="157" t="s">
        <v>4</v>
      </c>
      <c r="M156" s="117" t="s">
        <v>956</v>
      </c>
      <c r="N156" s="168" t="s">
        <v>957</v>
      </c>
      <c r="O156" s="169" t="s">
        <v>958</v>
      </c>
      <c r="P156" s="40"/>
      <c r="Q156" s="40"/>
      <c r="R156" s="40"/>
    </row>
    <row r="157" spans="1:18" s="1" customFormat="1" ht="17">
      <c r="A157" s="31">
        <v>153</v>
      </c>
      <c r="B157" s="329" t="str">
        <f t="shared" si="2"/>
        <v>15ngFlpO_1ngSHRNA_-DOX_96hr</v>
      </c>
      <c r="C157" s="32">
        <v>15</v>
      </c>
      <c r="D157" s="32">
        <v>1</v>
      </c>
      <c r="E157" s="155" t="s">
        <v>214</v>
      </c>
      <c r="F157" s="32">
        <v>96</v>
      </c>
      <c r="G157" s="33">
        <v>1</v>
      </c>
      <c r="H157" s="33"/>
      <c r="I157" s="33" t="s">
        <v>465</v>
      </c>
      <c r="J157" s="33" t="s">
        <v>450</v>
      </c>
      <c r="K157" s="34" t="s">
        <v>453</v>
      </c>
      <c r="L157" s="157" t="s">
        <v>4</v>
      </c>
      <c r="M157" s="117" t="s">
        <v>959</v>
      </c>
      <c r="N157" s="168" t="s">
        <v>960</v>
      </c>
      <c r="O157" s="169" t="s">
        <v>961</v>
      </c>
      <c r="P157" s="40"/>
      <c r="Q157" s="40"/>
      <c r="R157" s="40"/>
    </row>
    <row r="158" spans="1:18" s="1" customFormat="1" ht="17">
      <c r="A158" s="31">
        <v>154</v>
      </c>
      <c r="B158" s="329" t="str">
        <f t="shared" ref="B158:B170" si="3">CONCATENATE(C158,"ngFlpO_",D158,"ngSHRNA_",E158,"DOX_",F158,"hr")</f>
        <v>15ngFlpO_5ngSHRNA_-DOX_96hr</v>
      </c>
      <c r="C158" s="32">
        <v>15</v>
      </c>
      <c r="D158" s="32">
        <v>5</v>
      </c>
      <c r="E158" s="155" t="s">
        <v>214</v>
      </c>
      <c r="F158" s="32">
        <v>96</v>
      </c>
      <c r="G158" s="33">
        <v>1</v>
      </c>
      <c r="H158" s="33"/>
      <c r="I158" s="33" t="s">
        <v>465</v>
      </c>
      <c r="J158" s="33" t="s">
        <v>450</v>
      </c>
      <c r="K158" s="34" t="s">
        <v>454</v>
      </c>
      <c r="L158" s="157" t="s">
        <v>4</v>
      </c>
      <c r="M158" s="117" t="s">
        <v>962</v>
      </c>
      <c r="N158" s="168" t="s">
        <v>963</v>
      </c>
      <c r="O158" s="169" t="s">
        <v>964</v>
      </c>
      <c r="P158" s="40"/>
      <c r="Q158" s="40"/>
      <c r="R158" s="40"/>
    </row>
    <row r="159" spans="1:18" s="1" customFormat="1" ht="17">
      <c r="A159" s="31">
        <v>155</v>
      </c>
      <c r="B159" s="329" t="str">
        <f t="shared" si="3"/>
        <v>15ngFlpO_10ngSHRNA_-DOX_96hr</v>
      </c>
      <c r="C159" s="32">
        <v>15</v>
      </c>
      <c r="D159" s="32">
        <v>10</v>
      </c>
      <c r="E159" s="155" t="s">
        <v>214</v>
      </c>
      <c r="F159" s="32">
        <v>96</v>
      </c>
      <c r="G159" s="33">
        <v>1</v>
      </c>
      <c r="H159" s="33"/>
      <c r="I159" s="33" t="s">
        <v>465</v>
      </c>
      <c r="J159" s="33" t="s">
        <v>450</v>
      </c>
      <c r="K159" s="34" t="s">
        <v>455</v>
      </c>
      <c r="L159" s="157" t="s">
        <v>4</v>
      </c>
      <c r="M159" s="117" t="s">
        <v>965</v>
      </c>
      <c r="N159" s="168" t="s">
        <v>966</v>
      </c>
      <c r="O159" s="169" t="s">
        <v>967</v>
      </c>
      <c r="P159" s="40"/>
      <c r="Q159" s="40"/>
      <c r="R159" s="40"/>
    </row>
    <row r="160" spans="1:18" s="1" customFormat="1" ht="17">
      <c r="A160" s="31">
        <v>156</v>
      </c>
      <c r="B160" s="329" t="str">
        <f t="shared" si="3"/>
        <v>15ngFlpO_20ngSHRNA_-DOX_96hr</v>
      </c>
      <c r="C160" s="32">
        <v>15</v>
      </c>
      <c r="D160" s="32">
        <v>20</v>
      </c>
      <c r="E160" s="155" t="s">
        <v>214</v>
      </c>
      <c r="F160" s="32">
        <v>96</v>
      </c>
      <c r="G160" s="33">
        <v>1</v>
      </c>
      <c r="H160" s="33"/>
      <c r="I160" s="33" t="s">
        <v>465</v>
      </c>
      <c r="J160" s="33" t="s">
        <v>450</v>
      </c>
      <c r="K160" s="34" t="s">
        <v>456</v>
      </c>
      <c r="L160" s="157" t="s">
        <v>4</v>
      </c>
      <c r="M160" s="117" t="s">
        <v>968</v>
      </c>
      <c r="N160" s="168" t="s">
        <v>969</v>
      </c>
      <c r="O160" s="169" t="s">
        <v>970</v>
      </c>
      <c r="P160" s="40"/>
      <c r="Q160" s="40"/>
      <c r="R160" s="40"/>
    </row>
    <row r="161" spans="1:18" s="1" customFormat="1" ht="17">
      <c r="A161" s="31">
        <v>157</v>
      </c>
      <c r="B161" s="329" t="str">
        <f t="shared" si="3"/>
        <v>25ngFlpO_0ngSHRNA_-DOX_96hr</v>
      </c>
      <c r="C161" s="32">
        <v>25</v>
      </c>
      <c r="D161" s="32">
        <v>0</v>
      </c>
      <c r="E161" s="155" t="s">
        <v>214</v>
      </c>
      <c r="F161" s="32">
        <v>96</v>
      </c>
      <c r="G161" s="33">
        <v>1</v>
      </c>
      <c r="H161" s="33"/>
      <c r="I161" s="33" t="s">
        <v>465</v>
      </c>
      <c r="J161" s="33" t="s">
        <v>450</v>
      </c>
      <c r="K161" s="34" t="s">
        <v>457</v>
      </c>
      <c r="L161" s="157" t="s">
        <v>4</v>
      </c>
      <c r="M161" s="117" t="s">
        <v>971</v>
      </c>
      <c r="N161" s="168" t="s">
        <v>972</v>
      </c>
      <c r="O161" s="169" t="s">
        <v>973</v>
      </c>
      <c r="P161" s="40"/>
      <c r="Q161" s="40"/>
      <c r="R161" s="40"/>
    </row>
    <row r="162" spans="1:18" s="1" customFormat="1" ht="17">
      <c r="A162" s="31">
        <v>158</v>
      </c>
      <c r="B162" s="329" t="str">
        <f t="shared" si="3"/>
        <v>25ngFlpO_1ngSHRNA_-DOX_96hr</v>
      </c>
      <c r="C162" s="32">
        <v>25</v>
      </c>
      <c r="D162" s="32">
        <v>1</v>
      </c>
      <c r="E162" s="155" t="s">
        <v>214</v>
      </c>
      <c r="F162" s="32">
        <v>96</v>
      </c>
      <c r="G162" s="33">
        <v>1</v>
      </c>
      <c r="H162" s="33"/>
      <c r="I162" s="33" t="s">
        <v>465</v>
      </c>
      <c r="J162" s="33" t="s">
        <v>450</v>
      </c>
      <c r="K162" s="34" t="s">
        <v>458</v>
      </c>
      <c r="L162" s="157" t="s">
        <v>4</v>
      </c>
      <c r="M162" s="117" t="s">
        <v>974</v>
      </c>
      <c r="N162" s="168" t="s">
        <v>975</v>
      </c>
      <c r="O162" s="169" t="s">
        <v>976</v>
      </c>
      <c r="P162" s="40"/>
      <c r="Q162" s="40"/>
      <c r="R162" s="40"/>
    </row>
    <row r="163" spans="1:18" s="1" customFormat="1" ht="17">
      <c r="A163" s="31">
        <v>159</v>
      </c>
      <c r="B163" s="329" t="str">
        <f t="shared" si="3"/>
        <v>25ngFlpO_5ngSHRNA_-DOX_96hr</v>
      </c>
      <c r="C163" s="32">
        <v>25</v>
      </c>
      <c r="D163" s="32">
        <v>5</v>
      </c>
      <c r="E163" s="155" t="s">
        <v>214</v>
      </c>
      <c r="F163" s="32">
        <v>96</v>
      </c>
      <c r="G163" s="33">
        <v>1</v>
      </c>
      <c r="H163" s="33"/>
      <c r="I163" s="33" t="s">
        <v>466</v>
      </c>
      <c r="J163" s="33" t="s">
        <v>217</v>
      </c>
      <c r="K163" s="34" t="s">
        <v>424</v>
      </c>
      <c r="L163" s="157" t="s">
        <v>4</v>
      </c>
      <c r="M163" s="117" t="s">
        <v>977</v>
      </c>
      <c r="N163" s="168" t="s">
        <v>978</v>
      </c>
      <c r="O163" s="169" t="s">
        <v>979</v>
      </c>
      <c r="P163" s="40"/>
      <c r="Q163" s="40"/>
      <c r="R163" s="40"/>
    </row>
    <row r="164" spans="1:18" s="1" customFormat="1" ht="17">
      <c r="A164" s="31">
        <v>160</v>
      </c>
      <c r="B164" s="329" t="str">
        <f t="shared" si="3"/>
        <v>25ngFlpO_10ngSHRNA_-DOX_96hr</v>
      </c>
      <c r="C164" s="32">
        <v>25</v>
      </c>
      <c r="D164" s="32">
        <v>10</v>
      </c>
      <c r="E164" s="155" t="s">
        <v>214</v>
      </c>
      <c r="F164" s="32">
        <v>96</v>
      </c>
      <c r="G164" s="33">
        <v>1</v>
      </c>
      <c r="H164" s="33"/>
      <c r="I164" s="33" t="s">
        <v>466</v>
      </c>
      <c r="J164" s="33" t="s">
        <v>217</v>
      </c>
      <c r="K164" s="34" t="s">
        <v>425</v>
      </c>
      <c r="L164" s="157" t="s">
        <v>4</v>
      </c>
      <c r="M164" s="117" t="s">
        <v>980</v>
      </c>
      <c r="N164" s="168" t="s">
        <v>981</v>
      </c>
      <c r="O164" s="169" t="s">
        <v>982</v>
      </c>
      <c r="P164" s="40"/>
      <c r="Q164" s="40"/>
      <c r="R164" s="40"/>
    </row>
    <row r="165" spans="1:18" s="1" customFormat="1" ht="17">
      <c r="A165" s="31">
        <v>161</v>
      </c>
      <c r="B165" s="329" t="str">
        <f t="shared" si="3"/>
        <v>25ngFlpO_20ngSHRNA_-DOX_96hr</v>
      </c>
      <c r="C165" s="32">
        <v>25</v>
      </c>
      <c r="D165" s="32">
        <v>20</v>
      </c>
      <c r="E165" s="155" t="s">
        <v>214</v>
      </c>
      <c r="F165" s="32">
        <v>96</v>
      </c>
      <c r="G165" s="33">
        <v>1</v>
      </c>
      <c r="H165" s="33"/>
      <c r="I165" s="33" t="s">
        <v>466</v>
      </c>
      <c r="J165" s="33" t="s">
        <v>217</v>
      </c>
      <c r="K165" s="34" t="s">
        <v>426</v>
      </c>
      <c r="L165" s="157" t="s">
        <v>4</v>
      </c>
      <c r="M165" s="117" t="s">
        <v>983</v>
      </c>
      <c r="N165" s="168" t="s">
        <v>984</v>
      </c>
      <c r="O165" s="169" t="s">
        <v>985</v>
      </c>
      <c r="P165" s="40"/>
      <c r="Q165" s="40"/>
      <c r="R165" s="40"/>
    </row>
    <row r="166" spans="1:18" s="1" customFormat="1" ht="17">
      <c r="A166" s="31">
        <v>162</v>
      </c>
      <c r="B166" s="329" t="str">
        <f t="shared" si="3"/>
        <v>35ngFlpO_0ngSHRNA_-DOX_96hr</v>
      </c>
      <c r="C166" s="32">
        <v>35</v>
      </c>
      <c r="D166" s="32">
        <v>0</v>
      </c>
      <c r="E166" s="155" t="s">
        <v>214</v>
      </c>
      <c r="F166" s="32">
        <v>96</v>
      </c>
      <c r="G166" s="33">
        <v>1</v>
      </c>
      <c r="H166" s="33"/>
      <c r="I166" s="33" t="s">
        <v>466</v>
      </c>
      <c r="J166" s="33" t="s">
        <v>217</v>
      </c>
      <c r="K166" s="34" t="s">
        <v>427</v>
      </c>
      <c r="L166" s="157" t="s">
        <v>4</v>
      </c>
      <c r="M166" s="117" t="s">
        <v>986</v>
      </c>
      <c r="N166" s="168" t="s">
        <v>987</v>
      </c>
      <c r="O166" s="169" t="s">
        <v>988</v>
      </c>
      <c r="P166" s="40"/>
      <c r="Q166" s="40"/>
      <c r="R166" s="40"/>
    </row>
    <row r="167" spans="1:18" s="1" customFormat="1" ht="17">
      <c r="A167" s="31">
        <v>163</v>
      </c>
      <c r="B167" s="329" t="str">
        <f t="shared" si="3"/>
        <v>35ngFlpO_1ngSHRNA_-DOX_96hr</v>
      </c>
      <c r="C167" s="32">
        <v>35</v>
      </c>
      <c r="D167" s="32">
        <v>1</v>
      </c>
      <c r="E167" s="155" t="s">
        <v>214</v>
      </c>
      <c r="F167" s="32">
        <v>96</v>
      </c>
      <c r="G167" s="33">
        <v>1</v>
      </c>
      <c r="H167" s="33"/>
      <c r="I167" s="33" t="s">
        <v>466</v>
      </c>
      <c r="J167" s="33" t="s">
        <v>217</v>
      </c>
      <c r="K167" s="34" t="s">
        <v>428</v>
      </c>
      <c r="L167" s="157" t="s">
        <v>4</v>
      </c>
      <c r="M167" s="117" t="s">
        <v>989</v>
      </c>
      <c r="N167" s="168" t="s">
        <v>990</v>
      </c>
      <c r="O167" s="169" t="s">
        <v>991</v>
      </c>
      <c r="P167" s="40"/>
      <c r="Q167" s="40"/>
      <c r="R167" s="40"/>
    </row>
    <row r="168" spans="1:18" s="1" customFormat="1" ht="17">
      <c r="A168" s="31">
        <v>164</v>
      </c>
      <c r="B168" s="329" t="str">
        <f t="shared" si="3"/>
        <v>35ngFlpO_5ngSHRNA_-DOX_96hr</v>
      </c>
      <c r="C168" s="32">
        <v>35</v>
      </c>
      <c r="D168" s="32">
        <v>5</v>
      </c>
      <c r="E168" s="155" t="s">
        <v>214</v>
      </c>
      <c r="F168" s="32">
        <v>96</v>
      </c>
      <c r="G168" s="33">
        <v>1</v>
      </c>
      <c r="H168" s="33"/>
      <c r="I168" s="33" t="s">
        <v>466</v>
      </c>
      <c r="J168" s="33" t="s">
        <v>217</v>
      </c>
      <c r="K168" s="34" t="s">
        <v>429</v>
      </c>
      <c r="L168" s="157" t="s">
        <v>4</v>
      </c>
      <c r="M168" s="117" t="s">
        <v>992</v>
      </c>
      <c r="N168" s="168" t="s">
        <v>993</v>
      </c>
      <c r="O168" s="169" t="s">
        <v>994</v>
      </c>
      <c r="P168" s="40"/>
      <c r="Q168" s="40"/>
      <c r="R168" s="40"/>
    </row>
    <row r="169" spans="1:18" s="1" customFormat="1" ht="17">
      <c r="A169" s="31">
        <v>165</v>
      </c>
      <c r="B169" s="329" t="str">
        <f t="shared" si="3"/>
        <v>35ngFlpO_10ngSHRNA_-DOX_96hr</v>
      </c>
      <c r="C169" s="32">
        <v>35</v>
      </c>
      <c r="D169" s="32">
        <v>10</v>
      </c>
      <c r="E169" s="155" t="s">
        <v>214</v>
      </c>
      <c r="F169" s="32">
        <v>96</v>
      </c>
      <c r="G169" s="33">
        <v>1</v>
      </c>
      <c r="H169" s="138"/>
      <c r="I169" s="33" t="s">
        <v>466</v>
      </c>
      <c r="J169" s="33" t="s">
        <v>217</v>
      </c>
      <c r="K169" s="34" t="s">
        <v>430</v>
      </c>
      <c r="L169" s="157" t="s">
        <v>4</v>
      </c>
      <c r="M169" s="170" t="s">
        <v>995</v>
      </c>
      <c r="N169" s="171" t="s">
        <v>996</v>
      </c>
      <c r="O169" s="172" t="s">
        <v>997</v>
      </c>
      <c r="P169" s="40"/>
      <c r="Q169" s="40"/>
      <c r="R169" s="40"/>
    </row>
    <row r="170" spans="1:18" s="1" customFormat="1" ht="17">
      <c r="A170" s="31">
        <v>166</v>
      </c>
      <c r="B170" s="329" t="str">
        <f t="shared" si="3"/>
        <v>35ngFlpO_20ngSHRNA_-DOX_96hr</v>
      </c>
      <c r="C170" s="32">
        <v>35</v>
      </c>
      <c r="D170" s="32">
        <v>20</v>
      </c>
      <c r="E170" s="155" t="s">
        <v>214</v>
      </c>
      <c r="F170" s="32">
        <v>96</v>
      </c>
      <c r="G170" s="33">
        <v>1</v>
      </c>
      <c r="H170" s="33"/>
      <c r="I170" s="33" t="s">
        <v>466</v>
      </c>
      <c r="J170" s="33" t="s">
        <v>217</v>
      </c>
      <c r="K170" s="34" t="s">
        <v>431</v>
      </c>
      <c r="L170" s="157" t="s">
        <v>4</v>
      </c>
      <c r="M170" s="117" t="s">
        <v>998</v>
      </c>
      <c r="N170" s="168" t="s">
        <v>999</v>
      </c>
      <c r="O170" s="169" t="s">
        <v>1000</v>
      </c>
      <c r="P170" s="40"/>
      <c r="Q170" s="40"/>
      <c r="R170" s="40"/>
    </row>
    <row r="171" spans="1:18" s="1" customFormat="1" ht="17">
      <c r="A171" s="31">
        <v>167</v>
      </c>
      <c r="B171" s="329" t="s">
        <v>1004</v>
      </c>
      <c r="C171" s="234"/>
      <c r="D171" s="234"/>
      <c r="E171" s="235"/>
      <c r="F171" s="234"/>
      <c r="G171" s="33">
        <v>1</v>
      </c>
      <c r="H171" s="236"/>
      <c r="I171" s="33" t="s">
        <v>459</v>
      </c>
      <c r="J171" s="33" t="s">
        <v>432</v>
      </c>
      <c r="K171" s="34" t="s">
        <v>433</v>
      </c>
      <c r="L171" s="237" t="s">
        <v>4</v>
      </c>
      <c r="M171" s="149" t="s">
        <v>1019</v>
      </c>
      <c r="N171" s="166" t="s">
        <v>1020</v>
      </c>
      <c r="O171" s="167" t="s">
        <v>1021</v>
      </c>
      <c r="P171" s="40"/>
      <c r="Q171" s="40"/>
      <c r="R171" s="40"/>
    </row>
    <row r="172" spans="1:18" s="1" customFormat="1" ht="17">
      <c r="A172" s="31">
        <v>168</v>
      </c>
      <c r="B172" s="329" t="s">
        <v>1005</v>
      </c>
      <c r="C172" s="32"/>
      <c r="D172" s="32"/>
      <c r="E172" s="155"/>
      <c r="F172" s="32"/>
      <c r="G172" s="33">
        <v>1</v>
      </c>
      <c r="H172" s="33"/>
      <c r="I172" s="33" t="s">
        <v>459</v>
      </c>
      <c r="J172" s="33" t="s">
        <v>432</v>
      </c>
      <c r="K172" s="34" t="s">
        <v>434</v>
      </c>
      <c r="L172" s="157" t="s">
        <v>4</v>
      </c>
      <c r="M172" s="117" t="s">
        <v>1022</v>
      </c>
      <c r="N172" s="168" t="s">
        <v>1023</v>
      </c>
      <c r="O172" s="169" t="s">
        <v>1024</v>
      </c>
      <c r="P172" s="40"/>
      <c r="Q172" s="40"/>
      <c r="R172" s="40"/>
    </row>
    <row r="173" spans="1:18" s="1" customFormat="1" ht="17">
      <c r="A173" s="31">
        <v>169</v>
      </c>
      <c r="B173" s="329" t="s">
        <v>1006</v>
      </c>
      <c r="C173" s="32"/>
      <c r="D173" s="32"/>
      <c r="E173" s="155"/>
      <c r="F173" s="32"/>
      <c r="G173" s="33">
        <v>1</v>
      </c>
      <c r="H173" s="33"/>
      <c r="I173" s="33" t="s">
        <v>459</v>
      </c>
      <c r="J173" s="33" t="s">
        <v>432</v>
      </c>
      <c r="K173" s="34" t="s">
        <v>435</v>
      </c>
      <c r="L173" s="157" t="s">
        <v>4</v>
      </c>
      <c r="M173" s="117" t="s">
        <v>1025</v>
      </c>
      <c r="N173" s="168" t="s">
        <v>1026</v>
      </c>
      <c r="O173" s="169" t="s">
        <v>1027</v>
      </c>
      <c r="P173" s="40"/>
      <c r="Q173" s="40"/>
      <c r="R173" s="40"/>
    </row>
    <row r="174" spans="1:18" s="1" customFormat="1" ht="17">
      <c r="A174" s="31">
        <v>170</v>
      </c>
      <c r="B174" s="329" t="s">
        <v>1007</v>
      </c>
      <c r="C174" s="32"/>
      <c r="D174" s="32"/>
      <c r="E174" s="155"/>
      <c r="F174" s="32"/>
      <c r="G174" s="33">
        <v>1</v>
      </c>
      <c r="H174" s="33"/>
      <c r="I174" s="33" t="s">
        <v>459</v>
      </c>
      <c r="J174" s="33" t="s">
        <v>432</v>
      </c>
      <c r="K174" s="34" t="s">
        <v>436</v>
      </c>
      <c r="L174" s="157" t="s">
        <v>4</v>
      </c>
      <c r="M174" s="117" t="s">
        <v>1028</v>
      </c>
      <c r="N174" s="168" t="s">
        <v>1029</v>
      </c>
      <c r="O174" s="169" t="s">
        <v>1030</v>
      </c>
      <c r="P174" s="40"/>
      <c r="Q174" s="40"/>
      <c r="R174" s="40"/>
    </row>
    <row r="175" spans="1:18" s="1" customFormat="1" ht="17">
      <c r="A175" s="31">
        <v>171</v>
      </c>
      <c r="B175" s="329" t="s">
        <v>1008</v>
      </c>
      <c r="C175" s="32"/>
      <c r="D175" s="32"/>
      <c r="E175" s="155"/>
      <c r="F175" s="32"/>
      <c r="G175" s="33">
        <v>1</v>
      </c>
      <c r="H175" s="33"/>
      <c r="I175" s="33" t="s">
        <v>459</v>
      </c>
      <c r="J175" s="33" t="s">
        <v>432</v>
      </c>
      <c r="K175" s="34" t="s">
        <v>437</v>
      </c>
      <c r="L175" s="157" t="s">
        <v>4</v>
      </c>
      <c r="M175" s="117" t="s">
        <v>1031</v>
      </c>
      <c r="N175" s="168" t="s">
        <v>1032</v>
      </c>
      <c r="O175" s="169" t="s">
        <v>1033</v>
      </c>
      <c r="P175" s="40"/>
      <c r="Q175" s="40"/>
      <c r="R175" s="40"/>
    </row>
    <row r="176" spans="1:18" s="1" customFormat="1" ht="17">
      <c r="A176" s="31">
        <v>172</v>
      </c>
      <c r="B176" s="329" t="s">
        <v>1071</v>
      </c>
      <c r="C176" s="32"/>
      <c r="D176" s="32"/>
      <c r="E176" s="155"/>
      <c r="F176" s="32"/>
      <c r="G176" s="33">
        <v>1</v>
      </c>
      <c r="H176" s="33"/>
      <c r="I176" s="33" t="s">
        <v>423</v>
      </c>
      <c r="J176" s="33" t="s">
        <v>450</v>
      </c>
      <c r="K176" s="34" t="s">
        <v>464</v>
      </c>
      <c r="L176" s="157"/>
      <c r="M176" s="117" t="s">
        <v>1074</v>
      </c>
      <c r="N176" s="244"/>
      <c r="O176" s="245"/>
      <c r="P176" s="40"/>
      <c r="Q176" s="40"/>
      <c r="R176" s="40"/>
    </row>
    <row r="177" spans="1:20" s="1" customFormat="1" ht="17">
      <c r="A177" s="31">
        <v>173</v>
      </c>
      <c r="B177" s="329" t="s">
        <v>1009</v>
      </c>
      <c r="C177" s="32"/>
      <c r="D177" s="32"/>
      <c r="E177" s="155"/>
      <c r="F177" s="32"/>
      <c r="G177" s="33">
        <v>1</v>
      </c>
      <c r="H177" s="33"/>
      <c r="I177" s="33" t="s">
        <v>461</v>
      </c>
      <c r="J177" s="33" t="s">
        <v>432</v>
      </c>
      <c r="K177" s="34" t="s">
        <v>433</v>
      </c>
      <c r="L177" s="157" t="s">
        <v>4</v>
      </c>
      <c r="M177" s="117" t="s">
        <v>1034</v>
      </c>
      <c r="N177" s="168" t="s">
        <v>1035</v>
      </c>
      <c r="O177" s="169" t="s">
        <v>1036</v>
      </c>
      <c r="P177" s="40"/>
      <c r="Q177" s="40"/>
      <c r="R177" s="40"/>
    </row>
    <row r="178" spans="1:20" s="1" customFormat="1" ht="17">
      <c r="A178" s="31">
        <v>174</v>
      </c>
      <c r="B178" s="329" t="s">
        <v>1010</v>
      </c>
      <c r="C178" s="32"/>
      <c r="D178" s="32"/>
      <c r="E178" s="155"/>
      <c r="F178" s="32"/>
      <c r="G178" s="33">
        <v>1</v>
      </c>
      <c r="H178" s="33"/>
      <c r="I178" s="33" t="s">
        <v>461</v>
      </c>
      <c r="J178" s="33" t="s">
        <v>432</v>
      </c>
      <c r="K178" s="34" t="s">
        <v>434</v>
      </c>
      <c r="L178" s="157" t="s">
        <v>4</v>
      </c>
      <c r="M178" s="117" t="s">
        <v>1037</v>
      </c>
      <c r="N178" s="168" t="s">
        <v>1038</v>
      </c>
      <c r="O178" s="169" t="s">
        <v>1039</v>
      </c>
      <c r="P178" s="40"/>
      <c r="Q178" s="40"/>
      <c r="R178" s="40"/>
    </row>
    <row r="179" spans="1:20" s="1" customFormat="1" ht="17">
      <c r="A179" s="31">
        <v>175</v>
      </c>
      <c r="B179" s="329" t="s">
        <v>1011</v>
      </c>
      <c r="C179" s="32"/>
      <c r="D179" s="32"/>
      <c r="E179" s="155"/>
      <c r="F179" s="32"/>
      <c r="G179" s="33">
        <v>1</v>
      </c>
      <c r="H179" s="33"/>
      <c r="I179" s="33" t="s">
        <v>461</v>
      </c>
      <c r="J179" s="33" t="s">
        <v>432</v>
      </c>
      <c r="K179" s="34" t="s">
        <v>435</v>
      </c>
      <c r="L179" s="157" t="s">
        <v>4</v>
      </c>
      <c r="M179" s="117" t="s">
        <v>1040</v>
      </c>
      <c r="N179" s="168" t="s">
        <v>1041</v>
      </c>
      <c r="O179" s="169" t="s">
        <v>1042</v>
      </c>
      <c r="P179" s="40"/>
      <c r="Q179" s="40"/>
      <c r="R179" s="40"/>
    </row>
    <row r="180" spans="1:20" s="1" customFormat="1" ht="17">
      <c r="A180" s="31">
        <v>176</v>
      </c>
      <c r="B180" s="329" t="s">
        <v>1012</v>
      </c>
      <c r="C180" s="32"/>
      <c r="D180" s="32"/>
      <c r="E180" s="155"/>
      <c r="F180" s="32"/>
      <c r="G180" s="33">
        <v>1</v>
      </c>
      <c r="H180" s="33"/>
      <c r="I180" s="33" t="s">
        <v>461</v>
      </c>
      <c r="J180" s="33" t="s">
        <v>432</v>
      </c>
      <c r="K180" s="34" t="s">
        <v>436</v>
      </c>
      <c r="L180" s="157" t="s">
        <v>4</v>
      </c>
      <c r="M180" s="117" t="s">
        <v>1043</v>
      </c>
      <c r="N180" s="168" t="s">
        <v>1044</v>
      </c>
      <c r="O180" s="169" t="s">
        <v>1045</v>
      </c>
      <c r="P180" s="40"/>
      <c r="Q180" s="40"/>
      <c r="R180" s="40"/>
    </row>
    <row r="181" spans="1:20" s="1" customFormat="1" ht="17">
      <c r="A181" s="31">
        <v>177</v>
      </c>
      <c r="B181" s="329" t="s">
        <v>1013</v>
      </c>
      <c r="C181" s="32"/>
      <c r="D181" s="32"/>
      <c r="E181" s="155"/>
      <c r="F181" s="32"/>
      <c r="G181" s="33">
        <v>1</v>
      </c>
      <c r="H181" s="33"/>
      <c r="I181" s="33" t="s">
        <v>461</v>
      </c>
      <c r="J181" s="33" t="s">
        <v>432</v>
      </c>
      <c r="K181" s="34" t="s">
        <v>437</v>
      </c>
      <c r="L181" s="157" t="s">
        <v>4</v>
      </c>
      <c r="M181" s="117" t="s">
        <v>1046</v>
      </c>
      <c r="N181" s="168" t="s">
        <v>1047</v>
      </c>
      <c r="O181" s="169" t="s">
        <v>1048</v>
      </c>
      <c r="P181" s="40"/>
      <c r="Q181" s="40"/>
      <c r="R181" s="40"/>
    </row>
    <row r="182" spans="1:20" s="1" customFormat="1" ht="17">
      <c r="A182" s="31">
        <v>178</v>
      </c>
      <c r="B182" s="329" t="s">
        <v>1072</v>
      </c>
      <c r="C182" s="32"/>
      <c r="D182" s="32"/>
      <c r="E182" s="155"/>
      <c r="F182" s="32"/>
      <c r="G182" s="33">
        <v>1</v>
      </c>
      <c r="H182" s="138"/>
      <c r="I182" s="33" t="s">
        <v>460</v>
      </c>
      <c r="J182" s="33" t="s">
        <v>450</v>
      </c>
      <c r="K182" s="34" t="s">
        <v>464</v>
      </c>
      <c r="L182" s="157"/>
      <c r="M182" s="170" t="s">
        <v>1075</v>
      </c>
      <c r="N182" s="246"/>
      <c r="O182" s="247"/>
      <c r="P182" s="40"/>
      <c r="Q182" s="40"/>
      <c r="R182" s="40"/>
    </row>
    <row r="183" spans="1:20" s="1" customFormat="1" ht="17">
      <c r="A183" s="31">
        <v>179</v>
      </c>
      <c r="B183" s="329" t="s">
        <v>1014</v>
      </c>
      <c r="C183" s="32"/>
      <c r="D183" s="32"/>
      <c r="E183" s="155"/>
      <c r="F183" s="32"/>
      <c r="G183" s="33">
        <v>1</v>
      </c>
      <c r="H183" s="138"/>
      <c r="I183" s="33" t="s">
        <v>466</v>
      </c>
      <c r="J183" s="33" t="s">
        <v>432</v>
      </c>
      <c r="K183" s="34" t="s">
        <v>433</v>
      </c>
      <c r="L183" s="157" t="s">
        <v>4</v>
      </c>
      <c r="M183" s="170" t="s">
        <v>1049</v>
      </c>
      <c r="N183" s="171" t="s">
        <v>1050</v>
      </c>
      <c r="O183" s="172" t="s">
        <v>1051</v>
      </c>
      <c r="P183" s="40"/>
      <c r="Q183" s="40"/>
      <c r="R183" s="40"/>
    </row>
    <row r="184" spans="1:20" s="1" customFormat="1" ht="17">
      <c r="A184" s="31">
        <v>180</v>
      </c>
      <c r="B184" s="329" t="s">
        <v>1015</v>
      </c>
      <c r="C184" s="32"/>
      <c r="D184" s="32"/>
      <c r="E184" s="155"/>
      <c r="F184" s="32"/>
      <c r="G184" s="33">
        <v>1</v>
      </c>
      <c r="H184" s="138"/>
      <c r="I184" s="33" t="s">
        <v>466</v>
      </c>
      <c r="J184" s="33" t="s">
        <v>432</v>
      </c>
      <c r="K184" s="34" t="s">
        <v>434</v>
      </c>
      <c r="L184" s="157" t="s">
        <v>4</v>
      </c>
      <c r="M184" s="170" t="s">
        <v>1052</v>
      </c>
      <c r="N184" s="171" t="s">
        <v>1053</v>
      </c>
      <c r="O184" s="172" t="s">
        <v>1054</v>
      </c>
      <c r="P184" s="40"/>
      <c r="Q184" s="40"/>
      <c r="R184" s="40"/>
    </row>
    <row r="185" spans="1:20" s="1" customFormat="1" ht="17">
      <c r="A185" s="31">
        <v>181</v>
      </c>
      <c r="B185" s="329" t="s">
        <v>1016</v>
      </c>
      <c r="C185" s="32"/>
      <c r="D185" s="32"/>
      <c r="E185" s="155"/>
      <c r="F185" s="32"/>
      <c r="G185" s="33">
        <v>1</v>
      </c>
      <c r="H185" s="138"/>
      <c r="I185" s="33" t="s">
        <v>466</v>
      </c>
      <c r="J185" s="33" t="s">
        <v>432</v>
      </c>
      <c r="K185" s="34" t="s">
        <v>435</v>
      </c>
      <c r="L185" s="157" t="s">
        <v>4</v>
      </c>
      <c r="M185" s="170" t="s">
        <v>1055</v>
      </c>
      <c r="N185" s="171" t="s">
        <v>1056</v>
      </c>
      <c r="O185" s="172" t="s">
        <v>1057</v>
      </c>
      <c r="P185" s="40"/>
      <c r="Q185" s="40"/>
      <c r="R185" s="40"/>
    </row>
    <row r="186" spans="1:20" s="1" customFormat="1" ht="17">
      <c r="A186" s="31">
        <v>182</v>
      </c>
      <c r="B186" s="329" t="s">
        <v>1017</v>
      </c>
      <c r="C186" s="32"/>
      <c r="D186" s="32"/>
      <c r="E186" s="155"/>
      <c r="F186" s="32"/>
      <c r="G186" s="33">
        <v>1</v>
      </c>
      <c r="H186" s="138"/>
      <c r="I186" s="33" t="s">
        <v>466</v>
      </c>
      <c r="J186" s="33" t="s">
        <v>432</v>
      </c>
      <c r="K186" s="34" t="s">
        <v>436</v>
      </c>
      <c r="L186" s="157" t="s">
        <v>4</v>
      </c>
      <c r="M186" s="170" t="s">
        <v>1058</v>
      </c>
      <c r="N186" s="171" t="s">
        <v>1059</v>
      </c>
      <c r="O186" s="172" t="s">
        <v>1060</v>
      </c>
      <c r="P186" s="40"/>
      <c r="Q186" s="40"/>
      <c r="R186" s="40"/>
    </row>
    <row r="187" spans="1:20" s="1" customFormat="1" ht="17">
      <c r="A187" s="31">
        <v>183</v>
      </c>
      <c r="B187" s="329" t="s">
        <v>1018</v>
      </c>
      <c r="C187" s="32"/>
      <c r="D187" s="32"/>
      <c r="E187" s="155"/>
      <c r="F187" s="32"/>
      <c r="G187" s="33">
        <v>1</v>
      </c>
      <c r="H187" s="33"/>
      <c r="I187" s="33" t="s">
        <v>466</v>
      </c>
      <c r="J187" s="33" t="s">
        <v>432</v>
      </c>
      <c r="K187" s="34" t="s">
        <v>437</v>
      </c>
      <c r="L187" s="157" t="s">
        <v>4</v>
      </c>
      <c r="M187" s="170" t="s">
        <v>1061</v>
      </c>
      <c r="N187" s="171" t="s">
        <v>1062</v>
      </c>
      <c r="O187" s="172" t="s">
        <v>1063</v>
      </c>
      <c r="P187" s="40"/>
      <c r="Q187" s="40"/>
      <c r="R187" s="40"/>
    </row>
    <row r="188" spans="1:20" s="1" customFormat="1" ht="18" thickBot="1">
      <c r="A188" s="156">
        <v>184</v>
      </c>
      <c r="B188" s="239" t="s">
        <v>1073</v>
      </c>
      <c r="C188" s="240"/>
      <c r="D188" s="240"/>
      <c r="E188" s="241"/>
      <c r="F188" s="240"/>
      <c r="G188" s="242">
        <v>1</v>
      </c>
      <c r="H188" s="242"/>
      <c r="I188" s="242" t="s">
        <v>465</v>
      </c>
      <c r="J188" s="242" t="s">
        <v>450</v>
      </c>
      <c r="K188" s="243" t="s">
        <v>464</v>
      </c>
      <c r="L188" s="158"/>
      <c r="M188" s="173" t="s">
        <v>1076</v>
      </c>
      <c r="N188" s="248"/>
      <c r="O188" s="249"/>
      <c r="P188" s="40"/>
      <c r="Q188" s="40"/>
      <c r="R188" s="40"/>
    </row>
    <row r="189" spans="1:20" s="1" customFormat="1" ht="17" thickBot="1"/>
    <row r="190" spans="1:20" s="1" customFormat="1" ht="20" thickBot="1">
      <c r="A190" s="385" t="s">
        <v>175</v>
      </c>
      <c r="B190" s="386"/>
      <c r="C190" s="386"/>
      <c r="D190" s="386"/>
      <c r="E190" s="386"/>
      <c r="F190" s="386"/>
      <c r="G190" s="386"/>
      <c r="H190" s="386"/>
      <c r="I190" s="386"/>
      <c r="J190" s="386"/>
      <c r="K190" s="386"/>
      <c r="L190" s="386"/>
      <c r="M190" s="386"/>
      <c r="N190" s="386"/>
      <c r="O190" s="386"/>
      <c r="P190" s="386"/>
      <c r="Q190" s="386"/>
      <c r="R190" s="386"/>
      <c r="S190" s="386"/>
      <c r="T190" s="387"/>
    </row>
    <row r="191" spans="1:20" s="1" customFormat="1" ht="64">
      <c r="A191" s="129" t="s">
        <v>208</v>
      </c>
      <c r="B191" s="130" t="s">
        <v>274</v>
      </c>
      <c r="C191" s="128" t="s">
        <v>250</v>
      </c>
      <c r="D191" s="128" t="s">
        <v>276</v>
      </c>
      <c r="E191" s="128" t="s">
        <v>196</v>
      </c>
      <c r="F191" s="128" t="s">
        <v>281</v>
      </c>
      <c r="G191" s="128" t="s">
        <v>289</v>
      </c>
      <c r="H191" s="128" t="s">
        <v>305</v>
      </c>
      <c r="I191" s="128" t="s">
        <v>289</v>
      </c>
      <c r="J191" s="128"/>
      <c r="K191" s="128"/>
      <c r="L191" s="128" t="s">
        <v>298</v>
      </c>
      <c r="M191" s="128" t="s">
        <v>300</v>
      </c>
      <c r="N191" s="131" t="s">
        <v>198</v>
      </c>
      <c r="O191" s="131" t="s">
        <v>198</v>
      </c>
      <c r="P191" s="131" t="s">
        <v>198</v>
      </c>
      <c r="Q191" s="128" t="s">
        <v>203</v>
      </c>
      <c r="R191" s="128" t="s">
        <v>203</v>
      </c>
      <c r="S191" s="128" t="s">
        <v>203</v>
      </c>
      <c r="T191" s="136" t="s">
        <v>327</v>
      </c>
    </row>
    <row r="192" spans="1:20" s="1" customFormat="1" ht="32">
      <c r="A192" s="35"/>
      <c r="B192" s="36" t="s">
        <v>13</v>
      </c>
      <c r="C192" s="36" t="s">
        <v>181</v>
      </c>
      <c r="D192" s="36" t="s">
        <v>275</v>
      </c>
      <c r="E192" s="36" t="s">
        <v>182</v>
      </c>
      <c r="F192" s="36" t="s">
        <v>144</v>
      </c>
      <c r="G192" s="36" t="s">
        <v>277</v>
      </c>
      <c r="H192" s="36" t="s">
        <v>290</v>
      </c>
      <c r="I192" s="36" t="s">
        <v>293</v>
      </c>
      <c r="J192" s="36"/>
      <c r="K192" s="36"/>
      <c r="L192" s="36" t="s">
        <v>295</v>
      </c>
      <c r="M192" s="36" t="s">
        <v>296</v>
      </c>
      <c r="N192" s="36" t="s">
        <v>86</v>
      </c>
      <c r="O192" s="36" t="s">
        <v>87</v>
      </c>
      <c r="P192" s="36" t="s">
        <v>88</v>
      </c>
      <c r="Q192" s="36" t="s">
        <v>183</v>
      </c>
      <c r="R192" s="36" t="s">
        <v>184</v>
      </c>
      <c r="S192" s="36" t="s">
        <v>185</v>
      </c>
      <c r="T192" s="132"/>
    </row>
    <row r="193" spans="1:20" s="1" customFormat="1" ht="17" thickBot="1">
      <c r="A193" s="37"/>
      <c r="B193" s="50" t="s">
        <v>292</v>
      </c>
      <c r="C193" s="232" t="s">
        <v>1002</v>
      </c>
      <c r="D193" s="233" t="s">
        <v>1003</v>
      </c>
      <c r="E193" s="39"/>
      <c r="F193" s="39"/>
      <c r="G193" s="39" t="s">
        <v>291</v>
      </c>
      <c r="H193" s="39"/>
      <c r="I193" s="39" t="s">
        <v>294</v>
      </c>
      <c r="J193" s="39"/>
      <c r="K193" s="39"/>
      <c r="L193" s="39">
        <v>3</v>
      </c>
      <c r="M193" s="39" t="s">
        <v>297</v>
      </c>
      <c r="N193" s="39">
        <v>100</v>
      </c>
      <c r="O193" s="39">
        <v>0</v>
      </c>
      <c r="P193" s="39"/>
      <c r="Q193" s="39">
        <v>4</v>
      </c>
      <c r="R193" s="39">
        <v>10</v>
      </c>
      <c r="S193" s="39">
        <v>10</v>
      </c>
      <c r="T193" s="133"/>
    </row>
    <row r="194" spans="1:20" s="1" customFormat="1" ht="17" thickBot="1"/>
    <row r="195" spans="1:20" s="1" customFormat="1" ht="19">
      <c r="A195" s="402" t="s">
        <v>207</v>
      </c>
      <c r="B195" s="403"/>
      <c r="C195" s="403"/>
      <c r="D195" s="403"/>
      <c r="E195" s="403"/>
      <c r="F195" s="403"/>
      <c r="G195" s="403"/>
      <c r="H195" s="404"/>
    </row>
    <row r="196" spans="1:20" s="1" customFormat="1" ht="34.5" customHeight="1">
      <c r="A196" s="396" t="s">
        <v>271</v>
      </c>
      <c r="B196" s="397"/>
      <c r="C196" s="397"/>
      <c r="D196" s="397"/>
      <c r="E196" s="397"/>
      <c r="F196" s="397"/>
      <c r="G196" s="397"/>
      <c r="H196" s="398"/>
    </row>
    <row r="197" spans="1:20" s="1" customFormat="1">
      <c r="A197" s="396"/>
      <c r="B197" s="397"/>
      <c r="C197" s="397"/>
      <c r="D197" s="397"/>
      <c r="E197" s="397"/>
      <c r="F197" s="397"/>
      <c r="G197" s="397"/>
      <c r="H197" s="398"/>
    </row>
    <row r="198" spans="1:20" s="1" customFormat="1">
      <c r="A198" s="396"/>
      <c r="B198" s="397"/>
      <c r="C198" s="397"/>
      <c r="D198" s="397"/>
      <c r="E198" s="397"/>
      <c r="F198" s="397"/>
      <c r="G198" s="397"/>
      <c r="H198" s="398"/>
    </row>
    <row r="199" spans="1:20" s="1" customFormat="1" ht="17" thickBot="1">
      <c r="A199" s="399"/>
      <c r="B199" s="400"/>
      <c r="C199" s="400"/>
      <c r="D199" s="400"/>
      <c r="E199" s="400"/>
      <c r="F199" s="400"/>
      <c r="G199" s="400"/>
      <c r="H199" s="401"/>
    </row>
    <row r="200" spans="1:20" s="1" customFormat="1"/>
    <row r="201" spans="1:20" s="1" customFormat="1" ht="21">
      <c r="A201" s="393" t="s">
        <v>228</v>
      </c>
      <c r="B201" s="393"/>
      <c r="C201" s="393"/>
      <c r="D201" s="393"/>
      <c r="E201" s="393"/>
      <c r="F201" s="393"/>
      <c r="G201" s="393"/>
    </row>
    <row r="202" spans="1:20" s="1" customFormat="1">
      <c r="A202" s="329" t="s">
        <v>235</v>
      </c>
      <c r="B202" s="329" t="s">
        <v>229</v>
      </c>
      <c r="C202" s="329" t="s">
        <v>230</v>
      </c>
      <c r="D202" s="392" t="s">
        <v>231</v>
      </c>
      <c r="E202" s="392"/>
      <c r="F202" s="392"/>
      <c r="G202" s="392"/>
    </row>
    <row r="203" spans="1:20">
      <c r="A203" s="40" t="s">
        <v>232</v>
      </c>
      <c r="B203" s="40" t="s">
        <v>233</v>
      </c>
      <c r="C203" s="296">
        <v>43468.476319444446</v>
      </c>
      <c r="D203" s="297" t="s">
        <v>1001</v>
      </c>
    </row>
    <row r="204" spans="1:20" ht="18.75" customHeight="1">
      <c r="A204" s="40" t="s">
        <v>251</v>
      </c>
      <c r="B204" s="40" t="s">
        <v>255</v>
      </c>
      <c r="C204" s="296">
        <v>43468.476331018515</v>
      </c>
      <c r="D204" s="298" t="s">
        <v>252</v>
      </c>
    </row>
    <row r="205" spans="1:20" ht="18" customHeight="1">
      <c r="A205" s="40" t="s">
        <v>251</v>
      </c>
      <c r="B205" s="40" t="s">
        <v>256</v>
      </c>
      <c r="C205" s="296">
        <v>43468.476331018515</v>
      </c>
      <c r="D205" s="297" t="s">
        <v>253</v>
      </c>
    </row>
    <row r="206" spans="1:20">
      <c r="A206" s="40" t="s">
        <v>251</v>
      </c>
      <c r="B206" s="40" t="s">
        <v>257</v>
      </c>
      <c r="C206" s="296">
        <v>43468.476331018515</v>
      </c>
      <c r="D206" s="297" t="s">
        <v>269</v>
      </c>
    </row>
    <row r="207" spans="1:20">
      <c r="A207" s="40" t="s">
        <v>251</v>
      </c>
      <c r="B207" s="40" t="s">
        <v>258</v>
      </c>
      <c r="C207" s="296">
        <v>43468.476331018515</v>
      </c>
      <c r="D207" s="299" t="s">
        <v>254</v>
      </c>
    </row>
  </sheetData>
  <sheetProtection sheet="1" objects="1" scenarios="1"/>
  <mergeCells count="9">
    <mergeCell ref="M3:O3"/>
    <mergeCell ref="A190:T190"/>
    <mergeCell ref="A1:O1"/>
    <mergeCell ref="A2:O2"/>
    <mergeCell ref="D202:G202"/>
    <mergeCell ref="A201:G201"/>
    <mergeCell ref="C3:G3"/>
    <mergeCell ref="A196:H199"/>
    <mergeCell ref="A195:H19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12700</xdr:colOff>
                    <xdr:row>191</xdr:row>
                    <xdr:rowOff>12700</xdr:rowOff>
                  </from>
                  <to>
                    <xdr:col>1</xdr:col>
                    <xdr:colOff>12700</xdr:colOff>
                    <xdr:row>192</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12</xdr:col>
                    <xdr:colOff>12700</xdr:colOff>
                    <xdr:row>3</xdr:row>
                    <xdr:rowOff>12700</xdr:rowOff>
                  </from>
                  <to>
                    <xdr:col>13</xdr:col>
                    <xdr:colOff>1155700</xdr:colOff>
                    <xdr:row>3</xdr:row>
                    <xdr:rowOff>469900</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13</xdr:col>
                    <xdr:colOff>1168400</xdr:colOff>
                    <xdr:row>3</xdr:row>
                    <xdr:rowOff>12700</xdr:rowOff>
                  </from>
                  <to>
                    <xdr:col>15</xdr:col>
                    <xdr:colOff>0</xdr:colOff>
                    <xdr:row>3</xdr:row>
                    <xdr:rowOff>469900</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7</xdr:col>
                    <xdr:colOff>25400</xdr:colOff>
                    <xdr:row>3</xdr:row>
                    <xdr:rowOff>12700</xdr:rowOff>
                  </from>
                  <to>
                    <xdr:col>7</xdr:col>
                    <xdr:colOff>1841500</xdr:colOff>
                    <xdr:row>3</xdr:row>
                    <xdr:rowOff>469900</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19</xdr:col>
                    <xdr:colOff>12700</xdr:colOff>
                    <xdr:row>191</xdr:row>
                    <xdr:rowOff>25400</xdr:rowOff>
                  </from>
                  <to>
                    <xdr:col>20</xdr:col>
                    <xdr:colOff>0</xdr:colOff>
                    <xdr:row>192</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9"/>
  </sheetPr>
  <dimension ref="A1:H58"/>
  <sheetViews>
    <sheetView tabSelected="1" zoomScale="82" zoomScaleNormal="89" workbookViewId="0">
      <selection activeCell="A5" sqref="A5"/>
    </sheetView>
  </sheetViews>
  <sheetFormatPr baseColWidth="10" defaultColWidth="8.83203125" defaultRowHeight="16"/>
  <cols>
    <col min="1" max="1" width="32.5" customWidth="1"/>
    <col min="2" max="4" width="9.83203125" customWidth="1"/>
    <col min="5" max="5" width="10" customWidth="1"/>
    <col min="6" max="6" width="10" bestFit="1" customWidth="1"/>
    <col min="7" max="7" width="37.33203125" bestFit="1" customWidth="1"/>
    <col min="8" max="8" width="65.33203125" customWidth="1"/>
    <col min="9" max="9" width="14.83203125" customWidth="1"/>
  </cols>
  <sheetData>
    <row r="1" spans="1:8" ht="18" thickTop="1">
      <c r="A1" s="300" t="s">
        <v>1110</v>
      </c>
      <c r="B1" s="405" t="s">
        <v>1111</v>
      </c>
      <c r="C1" s="405"/>
    </row>
    <row r="2" spans="1:8" ht="18" thickBot="1">
      <c r="A2" s="300" t="s">
        <v>1112</v>
      </c>
      <c r="B2" s="406" t="s">
        <v>1113</v>
      </c>
      <c r="C2" s="406"/>
    </row>
    <row r="3" spans="1:8" ht="18" thickTop="1">
      <c r="A3" s="301" t="s">
        <v>1114</v>
      </c>
      <c r="B3" s="302">
        <f>SUM(B5:B12)</f>
        <v>250</v>
      </c>
      <c r="C3" s="302">
        <f>SUM(C5:C12)</f>
        <v>250</v>
      </c>
      <c r="D3" s="302">
        <f>SUM(D5:D12)</f>
        <v>250</v>
      </c>
      <c r="E3" s="302">
        <f>SUM(E5:E12)</f>
        <v>250</v>
      </c>
      <c r="F3" s="302">
        <f>SUM(F5:F12)</f>
        <v>250</v>
      </c>
    </row>
    <row r="4" spans="1:8" ht="17">
      <c r="A4" s="303" t="s">
        <v>1115</v>
      </c>
      <c r="B4" s="304" t="s">
        <v>1116</v>
      </c>
      <c r="C4" s="304" t="s">
        <v>1117</v>
      </c>
      <c r="D4" s="304" t="s">
        <v>1118</v>
      </c>
      <c r="E4" s="304" t="s">
        <v>1119</v>
      </c>
      <c r="F4" s="304" t="s">
        <v>1120</v>
      </c>
      <c r="G4" s="305" t="s">
        <v>1121</v>
      </c>
      <c r="H4" s="306" t="s">
        <v>1122</v>
      </c>
    </row>
    <row r="5" spans="1:8" ht="17">
      <c r="A5" s="303" t="s">
        <v>1123</v>
      </c>
      <c r="B5" s="304">
        <v>25</v>
      </c>
      <c r="C5" s="304">
        <v>25</v>
      </c>
      <c r="D5" s="304">
        <v>25</v>
      </c>
      <c r="E5" s="304">
        <v>25</v>
      </c>
      <c r="F5" s="304">
        <v>25</v>
      </c>
      <c r="G5" s="292" t="s">
        <v>1124</v>
      </c>
      <c r="H5" s="307" t="s">
        <v>1125</v>
      </c>
    </row>
    <row r="6" spans="1:8" ht="17">
      <c r="A6" s="303" t="s">
        <v>1126</v>
      </c>
      <c r="B6" s="304">
        <v>50</v>
      </c>
      <c r="C6" s="304">
        <v>50</v>
      </c>
      <c r="D6" s="304">
        <v>50</v>
      </c>
      <c r="E6" s="304">
        <v>50</v>
      </c>
      <c r="F6" s="304">
        <v>50</v>
      </c>
      <c r="G6" s="293" t="s">
        <v>1127</v>
      </c>
      <c r="H6" s="307" t="s">
        <v>1128</v>
      </c>
    </row>
    <row r="7" spans="1:8" ht="17">
      <c r="A7" s="303" t="s">
        <v>1129</v>
      </c>
      <c r="B7" s="304">
        <v>50</v>
      </c>
      <c r="C7" s="304">
        <v>50</v>
      </c>
      <c r="D7" s="304">
        <v>50</v>
      </c>
      <c r="E7" s="304">
        <v>50</v>
      </c>
      <c r="F7" s="304">
        <v>50</v>
      </c>
      <c r="G7" s="293" t="s">
        <v>1130</v>
      </c>
      <c r="H7" s="307" t="s">
        <v>1131</v>
      </c>
    </row>
    <row r="8" spans="1:8" ht="17">
      <c r="A8" s="303" t="s">
        <v>1132</v>
      </c>
      <c r="B8" s="304">
        <v>50</v>
      </c>
      <c r="C8" s="304">
        <v>50</v>
      </c>
      <c r="D8" s="304">
        <v>50</v>
      </c>
      <c r="E8" s="304">
        <v>50</v>
      </c>
      <c r="F8" s="304">
        <v>50</v>
      </c>
      <c r="G8" s="293" t="s">
        <v>1133</v>
      </c>
      <c r="H8" s="307" t="s">
        <v>1134</v>
      </c>
    </row>
    <row r="9" spans="1:8" ht="17">
      <c r="A9" s="303" t="s">
        <v>1135</v>
      </c>
      <c r="B9" s="304">
        <v>5</v>
      </c>
      <c r="C9" s="304">
        <v>5</v>
      </c>
      <c r="D9" s="304">
        <v>5</v>
      </c>
      <c r="E9" s="304">
        <v>5</v>
      </c>
      <c r="F9" s="304">
        <v>5</v>
      </c>
      <c r="G9" s="293" t="s">
        <v>1136</v>
      </c>
      <c r="H9" s="307" t="s">
        <v>1137</v>
      </c>
    </row>
    <row r="10" spans="1:8" ht="17">
      <c r="A10" s="303" t="s">
        <v>1138</v>
      </c>
      <c r="B10" s="304"/>
      <c r="C10" s="304">
        <v>1</v>
      </c>
      <c r="D10" s="304">
        <v>5</v>
      </c>
      <c r="E10" s="304">
        <v>10</v>
      </c>
      <c r="F10" s="304">
        <v>20</v>
      </c>
      <c r="G10" s="293" t="s">
        <v>1139</v>
      </c>
      <c r="H10" s="307" t="s">
        <v>1137</v>
      </c>
    </row>
    <row r="11" spans="1:8" ht="17">
      <c r="A11" s="303" t="s">
        <v>1140</v>
      </c>
      <c r="B11" s="304"/>
      <c r="C11" s="304"/>
      <c r="D11" s="304"/>
      <c r="E11" s="304"/>
      <c r="F11" s="304"/>
      <c r="G11" s="293" t="s">
        <v>1141</v>
      </c>
      <c r="H11" s="307" t="s">
        <v>1137</v>
      </c>
    </row>
    <row r="12" spans="1:8" ht="17">
      <c r="A12" s="303" t="s">
        <v>1142</v>
      </c>
      <c r="B12" s="304">
        <v>69.999999999999986</v>
      </c>
      <c r="C12" s="304">
        <v>69</v>
      </c>
      <c r="D12" s="304">
        <v>65</v>
      </c>
      <c r="E12" s="308">
        <v>60</v>
      </c>
      <c r="F12" s="308">
        <v>50</v>
      </c>
      <c r="G12" s="293" t="s">
        <v>1143</v>
      </c>
      <c r="H12" s="307" t="s">
        <v>1144</v>
      </c>
    </row>
    <row r="13" spans="1:8" ht="17" thickBot="1">
      <c r="A13" s="309"/>
      <c r="B13" s="310"/>
      <c r="C13" s="311"/>
      <c r="D13" s="310"/>
      <c r="E13" s="310"/>
      <c r="F13" s="310"/>
      <c r="H13" s="307"/>
    </row>
    <row r="14" spans="1:8" ht="18" thickTop="1">
      <c r="A14" s="301" t="s">
        <v>1114</v>
      </c>
      <c r="B14" s="302">
        <f>SUM(B16:B23)</f>
        <v>250</v>
      </c>
      <c r="C14" s="302">
        <f>SUM(C16:C23)</f>
        <v>250</v>
      </c>
      <c r="D14" s="302">
        <f>SUM(D16:D23)</f>
        <v>250</v>
      </c>
      <c r="E14" s="302">
        <f>SUM(E16:E23)</f>
        <v>250</v>
      </c>
      <c r="F14" s="302">
        <f>SUM(F16:F23)</f>
        <v>250</v>
      </c>
    </row>
    <row r="15" spans="1:8" ht="17">
      <c r="A15" s="303" t="s">
        <v>1115</v>
      </c>
      <c r="B15" s="304" t="s">
        <v>1145</v>
      </c>
      <c r="C15" s="304" t="s">
        <v>1146</v>
      </c>
      <c r="D15" s="304" t="s">
        <v>1147</v>
      </c>
      <c r="E15" s="304" t="s">
        <v>1148</v>
      </c>
      <c r="F15" s="304" t="s">
        <v>1149</v>
      </c>
      <c r="G15" s="305" t="s">
        <v>1121</v>
      </c>
    </row>
    <row r="16" spans="1:8" ht="17">
      <c r="A16" s="303" t="s">
        <v>1123</v>
      </c>
      <c r="B16" s="304">
        <v>25</v>
      </c>
      <c r="C16" s="304">
        <v>25</v>
      </c>
      <c r="D16" s="304">
        <v>25</v>
      </c>
      <c r="E16" s="304">
        <v>25</v>
      </c>
      <c r="F16" s="304">
        <v>25</v>
      </c>
      <c r="G16" s="292" t="s">
        <v>1124</v>
      </c>
    </row>
    <row r="17" spans="1:7" ht="17">
      <c r="A17" s="303" t="s">
        <v>1126</v>
      </c>
      <c r="B17" s="304">
        <v>50</v>
      </c>
      <c r="C17" s="304">
        <v>50</v>
      </c>
      <c r="D17" s="304">
        <v>50</v>
      </c>
      <c r="E17" s="304">
        <v>50</v>
      </c>
      <c r="F17" s="304">
        <v>50</v>
      </c>
      <c r="G17" s="293" t="s">
        <v>1127</v>
      </c>
    </row>
    <row r="18" spans="1:7" ht="17">
      <c r="A18" s="303" t="s">
        <v>1129</v>
      </c>
      <c r="B18" s="304">
        <v>50</v>
      </c>
      <c r="C18" s="304">
        <v>50</v>
      </c>
      <c r="D18" s="304">
        <v>50</v>
      </c>
      <c r="E18" s="304">
        <v>50</v>
      </c>
      <c r="F18" s="304">
        <v>50</v>
      </c>
      <c r="G18" s="293" t="s">
        <v>1130</v>
      </c>
    </row>
    <row r="19" spans="1:7" ht="17">
      <c r="A19" s="303" t="s">
        <v>1132</v>
      </c>
      <c r="B19" s="304">
        <v>50</v>
      </c>
      <c r="C19" s="304">
        <v>50</v>
      </c>
      <c r="D19" s="304">
        <v>50</v>
      </c>
      <c r="E19" s="304">
        <v>50</v>
      </c>
      <c r="F19" s="304">
        <v>50</v>
      </c>
      <c r="G19" s="293" t="s">
        <v>1133</v>
      </c>
    </row>
    <row r="20" spans="1:7" ht="17">
      <c r="A20" s="303" t="s">
        <v>1150</v>
      </c>
      <c r="B20" s="304">
        <v>15</v>
      </c>
      <c r="C20" s="304">
        <v>15</v>
      </c>
      <c r="D20" s="304">
        <v>15</v>
      </c>
      <c r="E20" s="304">
        <v>15</v>
      </c>
      <c r="F20" s="304">
        <v>15</v>
      </c>
      <c r="G20" s="293" t="s">
        <v>1136</v>
      </c>
    </row>
    <row r="21" spans="1:7" ht="17">
      <c r="A21" s="303" t="s">
        <v>1150</v>
      </c>
      <c r="B21" s="304"/>
      <c r="C21" s="304">
        <v>1</v>
      </c>
      <c r="D21" s="304">
        <v>5</v>
      </c>
      <c r="E21" s="304">
        <v>10</v>
      </c>
      <c r="F21" s="304">
        <v>20</v>
      </c>
      <c r="G21" s="293" t="s">
        <v>1139</v>
      </c>
    </row>
    <row r="22" spans="1:7" ht="17">
      <c r="A22" s="303" t="s">
        <v>1150</v>
      </c>
      <c r="B22" s="304"/>
      <c r="C22" s="304"/>
      <c r="D22" s="304"/>
      <c r="E22" s="304"/>
      <c r="F22" s="304"/>
      <c r="G22" s="293" t="s">
        <v>1141</v>
      </c>
    </row>
    <row r="23" spans="1:7" ht="17">
      <c r="A23" s="303" t="s">
        <v>1151</v>
      </c>
      <c r="B23" s="304">
        <v>60</v>
      </c>
      <c r="C23" s="304">
        <v>59</v>
      </c>
      <c r="D23" s="304">
        <v>55</v>
      </c>
      <c r="E23" s="308">
        <v>50</v>
      </c>
      <c r="F23" s="308">
        <v>40</v>
      </c>
      <c r="G23" s="293" t="s">
        <v>1143</v>
      </c>
    </row>
    <row r="24" spans="1:7" ht="17" thickBot="1"/>
    <row r="25" spans="1:7" ht="18" thickTop="1">
      <c r="A25" s="301" t="s">
        <v>1114</v>
      </c>
      <c r="B25" s="302">
        <f>SUM(B27:B34)</f>
        <v>250</v>
      </c>
      <c r="C25" s="302">
        <f>SUM(C27:C34)</f>
        <v>250</v>
      </c>
      <c r="D25" s="302">
        <f>SUM(D27:D34)</f>
        <v>250</v>
      </c>
      <c r="E25" s="302">
        <f>SUM(E27:E34)</f>
        <v>250</v>
      </c>
      <c r="F25" s="302">
        <f>SUM(F27:F34)</f>
        <v>250</v>
      </c>
    </row>
    <row r="26" spans="1:7" ht="17">
      <c r="A26" s="303" t="s">
        <v>1115</v>
      </c>
      <c r="B26" s="304" t="s">
        <v>1152</v>
      </c>
      <c r="C26" s="304" t="s">
        <v>1153</v>
      </c>
      <c r="D26" s="304" t="s">
        <v>1154</v>
      </c>
      <c r="E26" s="304" t="s">
        <v>1155</v>
      </c>
      <c r="F26" s="304" t="s">
        <v>1156</v>
      </c>
      <c r="G26" s="305" t="s">
        <v>1121</v>
      </c>
    </row>
    <row r="27" spans="1:7" ht="17">
      <c r="A27" s="303" t="s">
        <v>1123</v>
      </c>
      <c r="B27" s="304">
        <v>25</v>
      </c>
      <c r="C27" s="304">
        <v>25</v>
      </c>
      <c r="D27" s="304">
        <v>25</v>
      </c>
      <c r="E27" s="304">
        <v>25</v>
      </c>
      <c r="F27" s="304">
        <v>25</v>
      </c>
      <c r="G27" s="292" t="s">
        <v>1124</v>
      </c>
    </row>
    <row r="28" spans="1:7" ht="17">
      <c r="A28" s="303" t="s">
        <v>1126</v>
      </c>
      <c r="B28" s="304">
        <v>50</v>
      </c>
      <c r="C28" s="304">
        <v>50</v>
      </c>
      <c r="D28" s="304">
        <v>50</v>
      </c>
      <c r="E28" s="304">
        <v>50</v>
      </c>
      <c r="F28" s="304">
        <v>50</v>
      </c>
      <c r="G28" s="293" t="s">
        <v>1127</v>
      </c>
    </row>
    <row r="29" spans="1:7" ht="17">
      <c r="A29" s="303" t="s">
        <v>1129</v>
      </c>
      <c r="B29" s="304">
        <v>50</v>
      </c>
      <c r="C29" s="304">
        <v>50</v>
      </c>
      <c r="D29" s="304">
        <v>50</v>
      </c>
      <c r="E29" s="304">
        <v>50</v>
      </c>
      <c r="F29" s="304">
        <v>50</v>
      </c>
      <c r="G29" s="293" t="s">
        <v>1130</v>
      </c>
    </row>
    <row r="30" spans="1:7" ht="17">
      <c r="A30" s="303" t="s">
        <v>1132</v>
      </c>
      <c r="B30" s="304">
        <v>50</v>
      </c>
      <c r="C30" s="304">
        <v>50</v>
      </c>
      <c r="D30" s="304">
        <v>50</v>
      </c>
      <c r="E30" s="304">
        <v>50</v>
      </c>
      <c r="F30" s="304">
        <v>50</v>
      </c>
      <c r="G30" s="293" t="s">
        <v>1133</v>
      </c>
    </row>
    <row r="31" spans="1:7" ht="17">
      <c r="A31" s="303" t="s">
        <v>1150</v>
      </c>
      <c r="B31" s="304">
        <v>25</v>
      </c>
      <c r="C31" s="304">
        <v>25</v>
      </c>
      <c r="D31" s="304">
        <v>25</v>
      </c>
      <c r="E31" s="304">
        <v>25</v>
      </c>
      <c r="F31" s="304">
        <v>25</v>
      </c>
      <c r="G31" s="293" t="s">
        <v>1136</v>
      </c>
    </row>
    <row r="32" spans="1:7" ht="17">
      <c r="A32" s="303" t="s">
        <v>1150</v>
      </c>
      <c r="B32" s="304"/>
      <c r="C32" s="304">
        <v>1</v>
      </c>
      <c r="D32" s="304">
        <v>5</v>
      </c>
      <c r="E32" s="304">
        <v>10</v>
      </c>
      <c r="F32" s="304">
        <v>20</v>
      </c>
      <c r="G32" s="293" t="s">
        <v>1139</v>
      </c>
    </row>
    <row r="33" spans="1:8" ht="17">
      <c r="A33" s="303" t="s">
        <v>1150</v>
      </c>
      <c r="B33" s="304"/>
      <c r="C33" s="304"/>
      <c r="D33" s="304"/>
      <c r="E33" s="304"/>
      <c r="F33" s="304"/>
      <c r="G33" s="293" t="s">
        <v>1141</v>
      </c>
    </row>
    <row r="34" spans="1:8" ht="17">
      <c r="A34" s="303" t="s">
        <v>1151</v>
      </c>
      <c r="B34" s="304">
        <v>50</v>
      </c>
      <c r="C34" s="304">
        <v>49</v>
      </c>
      <c r="D34" s="304">
        <v>45</v>
      </c>
      <c r="E34" s="308">
        <v>40</v>
      </c>
      <c r="F34" s="308">
        <v>30</v>
      </c>
      <c r="G34" s="293" t="s">
        <v>1143</v>
      </c>
    </row>
    <row r="35" spans="1:8" ht="17" thickBot="1"/>
    <row r="36" spans="1:8" ht="18" thickTop="1">
      <c r="A36" s="301" t="s">
        <v>1114</v>
      </c>
      <c r="B36" s="302">
        <f>SUM(B38:B45)</f>
        <v>250</v>
      </c>
      <c r="C36" s="302">
        <f>SUM(C38:C45)</f>
        <v>250</v>
      </c>
      <c r="D36" s="302">
        <f>SUM(D38:D45)</f>
        <v>250</v>
      </c>
      <c r="E36" s="302">
        <f>SUM(E38:E45)</f>
        <v>250</v>
      </c>
      <c r="F36" s="302">
        <f>SUM(F38:F45)</f>
        <v>250</v>
      </c>
    </row>
    <row r="37" spans="1:8" ht="17">
      <c r="A37" s="303" t="s">
        <v>1115</v>
      </c>
      <c r="B37" s="304" t="s">
        <v>1157</v>
      </c>
      <c r="C37" s="304" t="s">
        <v>1158</v>
      </c>
      <c r="D37" s="304" t="s">
        <v>1159</v>
      </c>
      <c r="E37" s="304" t="s">
        <v>1160</v>
      </c>
      <c r="F37" s="304" t="s">
        <v>1161</v>
      </c>
      <c r="G37" s="305" t="s">
        <v>1121</v>
      </c>
    </row>
    <row r="38" spans="1:8" ht="17">
      <c r="A38" s="303" t="s">
        <v>1123</v>
      </c>
      <c r="B38" s="304">
        <v>25</v>
      </c>
      <c r="C38" s="304">
        <v>25</v>
      </c>
      <c r="D38" s="304">
        <v>25</v>
      </c>
      <c r="E38" s="304">
        <v>25</v>
      </c>
      <c r="F38" s="304">
        <v>25</v>
      </c>
      <c r="G38" s="292" t="s">
        <v>1124</v>
      </c>
    </row>
    <row r="39" spans="1:8" ht="17">
      <c r="A39" s="303" t="s">
        <v>1126</v>
      </c>
      <c r="B39" s="304">
        <v>50</v>
      </c>
      <c r="C39" s="304">
        <v>50</v>
      </c>
      <c r="D39" s="304">
        <v>50</v>
      </c>
      <c r="E39" s="304">
        <v>50</v>
      </c>
      <c r="F39" s="304">
        <v>50</v>
      </c>
      <c r="G39" s="293" t="s">
        <v>1127</v>
      </c>
    </row>
    <row r="40" spans="1:8" ht="17">
      <c r="A40" s="303" t="s">
        <v>1129</v>
      </c>
      <c r="B40" s="304">
        <v>50</v>
      </c>
      <c r="C40" s="304">
        <v>50</v>
      </c>
      <c r="D40" s="304">
        <v>50</v>
      </c>
      <c r="E40" s="304">
        <v>50</v>
      </c>
      <c r="F40" s="304">
        <v>50</v>
      </c>
      <c r="G40" s="293" t="s">
        <v>1130</v>
      </c>
    </row>
    <row r="41" spans="1:8" ht="17">
      <c r="A41" s="303" t="s">
        <v>1132</v>
      </c>
      <c r="B41" s="304">
        <v>50</v>
      </c>
      <c r="C41" s="304">
        <v>50</v>
      </c>
      <c r="D41" s="304">
        <v>50</v>
      </c>
      <c r="E41" s="304">
        <v>50</v>
      </c>
      <c r="F41" s="304">
        <v>50</v>
      </c>
      <c r="G41" s="293" t="s">
        <v>1133</v>
      </c>
    </row>
    <row r="42" spans="1:8" ht="17">
      <c r="A42" s="303" t="s">
        <v>1150</v>
      </c>
      <c r="B42" s="304">
        <v>35</v>
      </c>
      <c r="C42" s="304">
        <v>35</v>
      </c>
      <c r="D42" s="304">
        <v>35</v>
      </c>
      <c r="E42" s="304">
        <v>35</v>
      </c>
      <c r="F42" s="304">
        <v>35</v>
      </c>
      <c r="G42" s="293" t="s">
        <v>1136</v>
      </c>
    </row>
    <row r="43" spans="1:8" ht="17">
      <c r="A43" s="303" t="s">
        <v>1150</v>
      </c>
      <c r="B43" s="304"/>
      <c r="C43" s="304">
        <v>1</v>
      </c>
      <c r="D43" s="304">
        <v>5</v>
      </c>
      <c r="E43" s="304">
        <v>10</v>
      </c>
      <c r="F43" s="304">
        <v>20</v>
      </c>
      <c r="G43" s="293" t="s">
        <v>1139</v>
      </c>
    </row>
    <row r="44" spans="1:8" ht="17">
      <c r="A44" s="303" t="s">
        <v>1150</v>
      </c>
      <c r="B44" s="304"/>
      <c r="C44" s="304"/>
      <c r="D44" s="304"/>
      <c r="E44" s="304"/>
      <c r="F44" s="304"/>
      <c r="G44" s="293" t="s">
        <v>1141</v>
      </c>
    </row>
    <row r="45" spans="1:8" ht="17">
      <c r="A45" s="303" t="s">
        <v>1151</v>
      </c>
      <c r="B45" s="304">
        <v>40</v>
      </c>
      <c r="C45" s="304">
        <v>39</v>
      </c>
      <c r="D45" s="304">
        <v>35</v>
      </c>
      <c r="E45" s="308">
        <v>30</v>
      </c>
      <c r="F45" s="308">
        <v>20</v>
      </c>
      <c r="G45" s="293" t="s">
        <v>1143</v>
      </c>
    </row>
    <row r="47" spans="1:8">
      <c r="A47" s="309"/>
      <c r="B47" s="309"/>
      <c r="C47" s="309"/>
      <c r="D47" s="309"/>
      <c r="E47" s="309"/>
      <c r="F47" s="309"/>
      <c r="G47" s="312"/>
      <c r="H47" s="312"/>
    </row>
    <row r="48" spans="1:8">
      <c r="A48" s="309"/>
      <c r="B48" s="309"/>
      <c r="C48" s="309"/>
      <c r="D48" s="309"/>
      <c r="E48" s="309"/>
      <c r="F48" s="309"/>
      <c r="G48" s="313"/>
      <c r="H48" s="312"/>
    </row>
    <row r="49" spans="1:8">
      <c r="A49" s="309"/>
      <c r="B49" s="309"/>
      <c r="C49" s="309"/>
      <c r="D49" s="309"/>
      <c r="E49" s="309"/>
      <c r="F49" s="309"/>
      <c r="G49" s="313"/>
      <c r="H49" s="312"/>
    </row>
    <row r="50" spans="1:8">
      <c r="A50" s="309"/>
      <c r="B50" s="309"/>
      <c r="C50" s="309"/>
      <c r="D50" s="309"/>
      <c r="E50" s="309"/>
      <c r="F50" s="309"/>
      <c r="G50" s="313"/>
      <c r="H50" s="312"/>
    </row>
    <row r="51" spans="1:8">
      <c r="A51" s="309"/>
      <c r="B51" s="309"/>
      <c r="C51" s="309"/>
      <c r="D51" s="309"/>
      <c r="E51" s="309"/>
      <c r="F51" s="309"/>
      <c r="G51" s="313"/>
      <c r="H51" s="312"/>
    </row>
    <row r="52" spans="1:8">
      <c r="A52" s="309"/>
      <c r="B52" s="309"/>
      <c r="C52" s="309"/>
      <c r="D52" s="309"/>
      <c r="E52" s="309"/>
      <c r="F52" s="309"/>
      <c r="G52" s="313"/>
      <c r="H52" s="312"/>
    </row>
    <row r="53" spans="1:8">
      <c r="A53" s="309"/>
      <c r="B53" s="309"/>
      <c r="C53" s="309"/>
      <c r="D53" s="309"/>
      <c r="E53" s="309"/>
      <c r="F53" s="309"/>
      <c r="G53" s="313"/>
      <c r="H53" s="312"/>
    </row>
    <row r="54" spans="1:8">
      <c r="A54" s="309"/>
      <c r="B54" s="309"/>
      <c r="C54" s="309"/>
      <c r="D54" s="309"/>
      <c r="E54" s="309"/>
      <c r="F54" s="309"/>
      <c r="G54" s="313"/>
      <c r="H54" s="312"/>
    </row>
    <row r="55" spans="1:8">
      <c r="A55" s="309"/>
      <c r="B55" s="309"/>
      <c r="C55" s="309"/>
      <c r="D55" s="309"/>
      <c r="E55" s="309"/>
      <c r="F55" s="309"/>
      <c r="G55" s="313"/>
      <c r="H55" s="312"/>
    </row>
    <row r="56" spans="1:8">
      <c r="A56" s="309"/>
      <c r="B56" s="309"/>
      <c r="C56" s="309"/>
      <c r="D56" s="309"/>
      <c r="E56" s="312"/>
      <c r="F56" s="312"/>
      <c r="G56" s="309"/>
      <c r="H56" s="312"/>
    </row>
    <row r="57" spans="1:8">
      <c r="A57" s="309"/>
      <c r="B57" s="309"/>
      <c r="C57" s="309"/>
      <c r="D57" s="309"/>
      <c r="E57" s="309"/>
      <c r="F57" s="309"/>
      <c r="G57" s="313"/>
      <c r="H57" s="312"/>
    </row>
    <row r="58" spans="1:8">
      <c r="A58" s="309"/>
      <c r="B58" s="312"/>
      <c r="C58" s="309"/>
      <c r="D58" s="312"/>
      <c r="E58" s="312"/>
      <c r="F58" s="312"/>
      <c r="G58" s="309"/>
      <c r="H58" s="312"/>
    </row>
  </sheetData>
  <mergeCells count="2">
    <mergeCell ref="B1:C1"/>
    <mergeCell ref="B2:C2"/>
  </mergeCells>
  <hyperlinks>
    <hyperlink ref="H11" r:id="rId1" xr:uid="{00000000-0004-0000-0300-000000000000}"/>
    <hyperlink ref="H10" r:id="rId2" xr:uid="{00000000-0004-0000-0300-000001000000}"/>
    <hyperlink ref="H9" r:id="rId3" xr:uid="{00000000-0004-0000-0300-000002000000}"/>
    <hyperlink ref="H7" r:id="rId4" xr:uid="{00000000-0004-0000-0300-000003000000}"/>
    <hyperlink ref="H5" r:id="rId5" xr:uid="{00000000-0004-0000-0300-000004000000}"/>
    <hyperlink ref="H6" r:id="rId6" xr:uid="{00000000-0004-0000-0300-000005000000}"/>
    <hyperlink ref="H12" r:id="rId7" xr:uid="{00000000-0004-0000-0300-000006000000}"/>
    <hyperlink ref="H8" r:id="rId8" xr:uid="{00000000-0004-0000-0300-000007000000}"/>
  </hyperlinks>
  <pageMargins left="0.7" right="0.7" top="0.75" bottom="0.75" header="0.3" footer="0.3"/>
  <pageSetup paperSize="9" orientation="portrait" horizontalDpi="202" verticalDpi="196"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I14"/>
  <sheetViews>
    <sheetView workbookViewId="0">
      <selection activeCell="D17" sqref="D17"/>
    </sheetView>
  </sheetViews>
  <sheetFormatPr baseColWidth="10" defaultColWidth="8.83203125" defaultRowHeight="16"/>
  <cols>
    <col min="1" max="1" width="16.1640625" customWidth="1"/>
    <col min="2" max="7" width="8.6640625" customWidth="1"/>
    <col min="8" max="8" width="30.1640625" customWidth="1"/>
    <col min="9" max="9" width="60.6640625" customWidth="1"/>
    <col min="10" max="10" width="49.83203125" customWidth="1"/>
  </cols>
  <sheetData>
    <row r="1" spans="1:9" ht="17">
      <c r="A1" s="300" t="s">
        <v>1110</v>
      </c>
      <c r="B1" s="406" t="s">
        <v>1111</v>
      </c>
      <c r="C1" s="406"/>
    </row>
    <row r="2" spans="1:9" ht="18" thickBot="1">
      <c r="A2" s="300" t="s">
        <v>1112</v>
      </c>
      <c r="B2" s="406" t="s">
        <v>1113</v>
      </c>
      <c r="C2" s="406"/>
    </row>
    <row r="3" spans="1:9" ht="18" thickTop="1">
      <c r="A3" s="301" t="s">
        <v>1162</v>
      </c>
      <c r="B3" s="302">
        <f>SUM(B5:B9)</f>
        <v>250</v>
      </c>
      <c r="C3" s="302">
        <f t="shared" ref="C3:G3" si="0">SUM(C5:C9)</f>
        <v>250</v>
      </c>
      <c r="D3" s="302">
        <f t="shared" si="0"/>
        <v>250</v>
      </c>
      <c r="E3" s="302">
        <f t="shared" si="0"/>
        <v>250</v>
      </c>
      <c r="F3" s="302">
        <f t="shared" si="0"/>
        <v>250</v>
      </c>
      <c r="G3" s="314">
        <f t="shared" si="0"/>
        <v>0</v>
      </c>
    </row>
    <row r="4" spans="1:9" ht="34">
      <c r="A4" s="303" t="s">
        <v>1163</v>
      </c>
      <c r="B4" s="304" t="s">
        <v>408</v>
      </c>
      <c r="C4" s="304" t="s">
        <v>409</v>
      </c>
      <c r="D4" s="304" t="s">
        <v>413</v>
      </c>
      <c r="E4" s="304" t="s">
        <v>416</v>
      </c>
      <c r="F4" s="304" t="s">
        <v>419</v>
      </c>
      <c r="G4" s="315" t="s">
        <v>160</v>
      </c>
      <c r="H4" s="305" t="s">
        <v>1121</v>
      </c>
      <c r="I4" s="291" t="s">
        <v>1122</v>
      </c>
    </row>
    <row r="5" spans="1:9" ht="17">
      <c r="A5" s="316" t="s">
        <v>1164</v>
      </c>
      <c r="B5" s="304"/>
      <c r="C5" s="304">
        <v>31.25</v>
      </c>
      <c r="D5" s="304"/>
      <c r="E5" s="304"/>
      <c r="F5" s="304">
        <v>31.25</v>
      </c>
      <c r="G5" s="315"/>
      <c r="H5" s="305" t="s">
        <v>1165</v>
      </c>
      <c r="I5" s="307" t="s">
        <v>1166</v>
      </c>
    </row>
    <row r="6" spans="1:9" ht="17">
      <c r="A6" s="316" t="s">
        <v>1167</v>
      </c>
      <c r="B6" s="304"/>
      <c r="C6" s="304"/>
      <c r="D6" s="304">
        <v>31.25</v>
      </c>
      <c r="E6" s="304"/>
      <c r="F6" s="304">
        <v>31.25</v>
      </c>
      <c r="G6" s="315"/>
      <c r="H6" s="305" t="s">
        <v>1168</v>
      </c>
      <c r="I6" s="307" t="s">
        <v>1169</v>
      </c>
    </row>
    <row r="7" spans="1:9" ht="17">
      <c r="A7" s="316" t="s">
        <v>1123</v>
      </c>
      <c r="B7" s="304"/>
      <c r="C7" s="304"/>
      <c r="D7" s="304"/>
      <c r="E7" s="304">
        <v>31.25</v>
      </c>
      <c r="F7" s="304">
        <v>31.25</v>
      </c>
      <c r="G7" s="315"/>
      <c r="H7" s="305" t="s">
        <v>1170</v>
      </c>
      <c r="I7" s="307" t="s">
        <v>1125</v>
      </c>
    </row>
    <row r="8" spans="1:9" ht="17">
      <c r="A8" s="303" t="s">
        <v>1150</v>
      </c>
      <c r="B8" s="304">
        <v>250</v>
      </c>
      <c r="C8" s="304">
        <v>218.75</v>
      </c>
      <c r="D8" s="304">
        <v>218.75</v>
      </c>
      <c r="E8" s="304">
        <v>218.75</v>
      </c>
      <c r="F8" s="304">
        <v>156.25</v>
      </c>
      <c r="G8" s="315"/>
      <c r="H8" s="305" t="s">
        <v>1171</v>
      </c>
      <c r="I8" s="307" t="s">
        <v>1137</v>
      </c>
    </row>
    <row r="9" spans="1:9" ht="18" thickBot="1">
      <c r="A9" s="317" t="s">
        <v>1172</v>
      </c>
      <c r="B9" s="318"/>
      <c r="C9" s="318"/>
      <c r="D9" s="318"/>
      <c r="E9" s="318"/>
      <c r="F9" s="318"/>
      <c r="G9" s="319" t="s">
        <v>160</v>
      </c>
      <c r="H9" s="305" t="s">
        <v>1172</v>
      </c>
    </row>
    <row r="10" spans="1:9" ht="17" thickTop="1">
      <c r="B10" s="311"/>
      <c r="C10" s="311"/>
      <c r="D10" s="311"/>
      <c r="E10" s="311"/>
      <c r="F10" s="311"/>
      <c r="G10" s="311"/>
    </row>
    <row r="11" spans="1:9">
      <c r="A11" s="320"/>
      <c r="B11" s="311"/>
    </row>
    <row r="12" spans="1:9">
      <c r="A12" s="320"/>
      <c r="B12" s="311"/>
    </row>
    <row r="13" spans="1:9">
      <c r="A13" s="311"/>
    </row>
    <row r="14" spans="1:9">
      <c r="A14" s="321"/>
    </row>
  </sheetData>
  <mergeCells count="2">
    <mergeCell ref="B1:C1"/>
    <mergeCell ref="B2:C2"/>
  </mergeCells>
  <hyperlinks>
    <hyperlink ref="I5" r:id="rId1" xr:uid="{00000000-0004-0000-0400-000000000000}"/>
    <hyperlink ref="I6" r:id="rId2" xr:uid="{00000000-0004-0000-0400-000001000000}"/>
    <hyperlink ref="I8" r:id="rId3" xr:uid="{00000000-0004-0000-0400-000002000000}"/>
    <hyperlink ref="I7" r:id="rId4" xr:uid="{00000000-0004-0000-0400-000003000000}"/>
  </hyperlinks>
  <pageMargins left="0.7" right="0.7" top="0.75" bottom="0.75" header="0.3" footer="0.3"/>
  <pageSetup paperSize="9" orientation="portrait" horizontalDpi="202" verticalDpi="196"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autoPageBreaks="0"/>
  </sheetPr>
  <dimension ref="A1:J42"/>
  <sheetViews>
    <sheetView topLeftCell="A24" zoomScale="70" zoomScaleNormal="70" workbookViewId="0">
      <selection activeCell="D76" sqref="D76"/>
    </sheetView>
  </sheetViews>
  <sheetFormatPr baseColWidth="10" defaultColWidth="11" defaultRowHeight="16"/>
  <cols>
    <col min="1" max="1" width="22.1640625" customWidth="1"/>
    <col min="2" max="2" width="25" customWidth="1"/>
    <col min="3" max="3" width="18" customWidth="1"/>
    <col min="4" max="4" width="23" customWidth="1"/>
    <col min="5" max="5" width="18.1640625" customWidth="1"/>
    <col min="6" max="6" width="20.6640625" customWidth="1"/>
    <col min="7" max="7" width="21.33203125" customWidth="1"/>
    <col min="8" max="8" width="16.83203125" customWidth="1"/>
    <col min="9" max="9" width="17.1640625" customWidth="1"/>
    <col min="10" max="10" width="9.5" customWidth="1"/>
    <col min="11" max="11" width="9" customWidth="1"/>
  </cols>
  <sheetData>
    <row r="1" spans="1:10" s="30" customFormat="1" ht="20" thickBot="1">
      <c r="A1" s="419" t="s">
        <v>316</v>
      </c>
      <c r="B1" s="420"/>
      <c r="C1" s="420"/>
      <c r="D1" s="420"/>
      <c r="E1" s="420"/>
      <c r="F1" s="420"/>
      <c r="G1" s="420"/>
      <c r="H1" s="420"/>
      <c r="I1" s="420"/>
      <c r="J1" s="421"/>
    </row>
    <row r="2" spans="1:10" s="30" customFormat="1" ht="20" thickBot="1">
      <c r="A2" s="416" t="s">
        <v>317</v>
      </c>
      <c r="B2" s="417"/>
      <c r="C2" s="417"/>
      <c r="D2" s="417"/>
      <c r="E2" s="417"/>
      <c r="F2" s="417"/>
      <c r="G2" s="417"/>
      <c r="H2" s="417"/>
      <c r="I2" s="417"/>
      <c r="J2" s="418"/>
    </row>
    <row r="3" spans="1:10" s="30" customFormat="1" ht="64">
      <c r="A3" s="112" t="s">
        <v>318</v>
      </c>
      <c r="B3" s="105" t="s">
        <v>318</v>
      </c>
      <c r="C3" s="106" t="s">
        <v>319</v>
      </c>
      <c r="D3" s="106" t="s">
        <v>319</v>
      </c>
      <c r="E3" s="107" t="s">
        <v>198</v>
      </c>
      <c r="F3" s="108" t="s">
        <v>406</v>
      </c>
      <c r="G3" s="53" t="s">
        <v>242</v>
      </c>
      <c r="H3" s="109" t="s">
        <v>226</v>
      </c>
      <c r="I3" s="110"/>
      <c r="J3" s="111"/>
    </row>
    <row r="4" spans="1:10" s="30" customFormat="1" ht="32">
      <c r="A4" s="85" t="s">
        <v>320</v>
      </c>
      <c r="B4" s="86" t="s">
        <v>321</v>
      </c>
      <c r="C4" s="87" t="s">
        <v>322</v>
      </c>
      <c r="D4" s="87" t="s">
        <v>323</v>
      </c>
      <c r="E4" s="87" t="s">
        <v>10</v>
      </c>
      <c r="F4" s="87" t="s">
        <v>67</v>
      </c>
      <c r="G4" s="86" t="s">
        <v>166</v>
      </c>
      <c r="H4" s="88" t="s">
        <v>227</v>
      </c>
      <c r="I4" s="119"/>
      <c r="J4" s="120"/>
    </row>
    <row r="5" spans="1:10" s="30" customFormat="1" ht="50.25" customHeight="1" thickBot="1">
      <c r="A5" s="60" t="s">
        <v>407</v>
      </c>
      <c r="B5" s="121" t="s">
        <v>324</v>
      </c>
      <c r="C5" s="121">
        <v>2.1</v>
      </c>
      <c r="D5" s="121"/>
      <c r="E5" s="121">
        <v>225</v>
      </c>
      <c r="F5" s="121"/>
      <c r="G5" s="121" t="s">
        <v>160</v>
      </c>
      <c r="H5" s="121"/>
      <c r="I5" s="121"/>
      <c r="J5" s="122"/>
    </row>
    <row r="6" spans="1:10" s="30" customFormat="1" ht="20" thickBot="1">
      <c r="A6" s="416" t="s">
        <v>325</v>
      </c>
      <c r="B6" s="417"/>
      <c r="C6" s="417"/>
      <c r="D6" s="417"/>
      <c r="E6" s="417"/>
      <c r="F6" s="417"/>
      <c r="G6" s="417"/>
      <c r="H6" s="417"/>
      <c r="I6" s="417"/>
      <c r="J6" s="418"/>
    </row>
    <row r="7" spans="1:10" s="30" customFormat="1" ht="32">
      <c r="A7" s="89" t="s">
        <v>198</v>
      </c>
      <c r="B7" s="84" t="s">
        <v>326</v>
      </c>
      <c r="C7" s="58"/>
      <c r="D7" s="58"/>
      <c r="E7" s="58"/>
      <c r="F7" s="61"/>
      <c r="G7" s="58"/>
      <c r="H7" s="58"/>
      <c r="I7" s="58"/>
      <c r="J7" s="59"/>
    </row>
    <row r="8" spans="1:10" s="30" customFormat="1" ht="32">
      <c r="A8" s="90" t="s">
        <v>141</v>
      </c>
      <c r="B8" s="86" t="s">
        <v>166</v>
      </c>
      <c r="C8" s="62"/>
      <c r="D8" s="62"/>
      <c r="E8" s="62"/>
      <c r="F8" s="62"/>
      <c r="G8" s="63"/>
      <c r="H8" s="63"/>
      <c r="I8" s="63"/>
      <c r="J8" s="64"/>
    </row>
    <row r="9" spans="1:10" s="30" customFormat="1" ht="17" thickBot="1">
      <c r="A9" s="65" t="s">
        <v>0</v>
      </c>
      <c r="B9" s="147" t="s">
        <v>408</v>
      </c>
      <c r="C9" s="66"/>
      <c r="D9" s="67"/>
      <c r="E9" s="66"/>
      <c r="F9" s="67"/>
      <c r="G9" s="57"/>
      <c r="H9" s="57"/>
      <c r="I9" s="57"/>
      <c r="J9" s="68"/>
    </row>
    <row r="10" spans="1:10" s="30" customFormat="1" ht="20" thickBot="1">
      <c r="A10" s="416" t="s">
        <v>8</v>
      </c>
      <c r="B10" s="417"/>
      <c r="C10" s="417"/>
      <c r="D10" s="417"/>
      <c r="E10" s="417"/>
      <c r="F10" s="417"/>
      <c r="G10" s="417"/>
      <c r="H10" s="417"/>
      <c r="I10" s="417"/>
      <c r="J10" s="418"/>
    </row>
    <row r="11" spans="1:10" s="30" customFormat="1" ht="64">
      <c r="A11" s="91"/>
      <c r="B11" s="82" t="s">
        <v>204</v>
      </c>
      <c r="C11" s="82" t="s">
        <v>186</v>
      </c>
      <c r="D11" s="92" t="s">
        <v>249</v>
      </c>
      <c r="E11" s="82" t="s">
        <v>188</v>
      </c>
      <c r="F11" s="93" t="s">
        <v>244</v>
      </c>
      <c r="G11" s="84" t="s">
        <v>243</v>
      </c>
      <c r="H11" s="84" t="s">
        <v>245</v>
      </c>
      <c r="I11" s="58"/>
      <c r="J11" s="59"/>
    </row>
    <row r="12" spans="1:10" s="30" customFormat="1" ht="40.5" customHeight="1">
      <c r="A12" s="90" t="s">
        <v>397</v>
      </c>
      <c r="B12" s="86" t="s">
        <v>8</v>
      </c>
      <c r="C12" s="94" t="s">
        <v>187</v>
      </c>
      <c r="D12" s="94" t="s">
        <v>142</v>
      </c>
      <c r="E12" s="94" t="s">
        <v>189</v>
      </c>
      <c r="F12" s="94" t="s">
        <v>190</v>
      </c>
      <c r="G12" s="95" t="s">
        <v>191</v>
      </c>
      <c r="H12" s="86" t="s">
        <v>166</v>
      </c>
      <c r="I12" s="69"/>
      <c r="J12" s="70"/>
    </row>
    <row r="13" spans="1:10" s="30" customFormat="1">
      <c r="A13" s="71" t="s">
        <v>9</v>
      </c>
      <c r="B13" s="148" t="s">
        <v>409</v>
      </c>
      <c r="C13" s="148" t="s">
        <v>410</v>
      </c>
      <c r="D13" s="148" t="s">
        <v>209</v>
      </c>
      <c r="E13" s="148">
        <v>488</v>
      </c>
      <c r="F13" s="148" t="s">
        <v>411</v>
      </c>
      <c r="G13" s="148" t="s">
        <v>412</v>
      </c>
      <c r="H13" s="148" t="s">
        <v>409</v>
      </c>
      <c r="I13" s="72"/>
      <c r="J13" s="73"/>
    </row>
    <row r="14" spans="1:10" s="30" customFormat="1">
      <c r="A14" s="71">
        <v>2</v>
      </c>
      <c r="B14" s="148" t="s">
        <v>413</v>
      </c>
      <c r="C14" s="148" t="s">
        <v>414</v>
      </c>
      <c r="D14" s="148" t="s">
        <v>211</v>
      </c>
      <c r="E14" s="148">
        <v>405</v>
      </c>
      <c r="F14" s="148" t="s">
        <v>415</v>
      </c>
      <c r="G14" s="148" t="s">
        <v>6</v>
      </c>
      <c r="H14" s="148" t="s">
        <v>413</v>
      </c>
      <c r="I14" s="72"/>
      <c r="J14" s="73"/>
    </row>
    <row r="15" spans="1:10" s="30" customFormat="1">
      <c r="A15" s="71">
        <v>3</v>
      </c>
      <c r="B15" s="148" t="s">
        <v>416</v>
      </c>
      <c r="C15" s="148" t="s">
        <v>417</v>
      </c>
      <c r="D15" s="148" t="s">
        <v>210</v>
      </c>
      <c r="E15" s="148">
        <v>561</v>
      </c>
      <c r="F15" s="148" t="s">
        <v>418</v>
      </c>
      <c r="G15" s="148" t="s">
        <v>7</v>
      </c>
      <c r="H15" s="148" t="s">
        <v>416</v>
      </c>
      <c r="I15" s="72"/>
      <c r="J15" s="73"/>
    </row>
    <row r="16" spans="1:10" s="30" customFormat="1" ht="17" thickBot="1">
      <c r="A16" s="71">
        <v>4</v>
      </c>
      <c r="B16" s="72"/>
      <c r="C16" s="72"/>
      <c r="D16" s="72"/>
      <c r="E16" s="72"/>
      <c r="F16" s="72"/>
      <c r="G16" s="72"/>
      <c r="H16" s="72"/>
      <c r="I16" s="72"/>
      <c r="J16" s="73"/>
    </row>
    <row r="17" spans="1:10" s="30" customFormat="1" ht="20" thickBot="1">
      <c r="A17" s="416" t="s">
        <v>402</v>
      </c>
      <c r="B17" s="417"/>
      <c r="C17" s="417"/>
      <c r="D17" s="417"/>
      <c r="E17" s="417"/>
      <c r="F17" s="417"/>
      <c r="G17" s="417"/>
      <c r="H17" s="417"/>
      <c r="I17" s="417"/>
      <c r="J17" s="418"/>
    </row>
    <row r="18" spans="1:10" s="30" customFormat="1" ht="32">
      <c r="A18" s="91"/>
      <c r="B18" s="82" t="s">
        <v>204</v>
      </c>
      <c r="C18" s="82" t="s">
        <v>186</v>
      </c>
      <c r="D18" s="82" t="s">
        <v>188</v>
      </c>
      <c r="E18" s="93" t="s">
        <v>244</v>
      </c>
      <c r="F18" s="84" t="s">
        <v>243</v>
      </c>
      <c r="G18" s="84"/>
      <c r="H18" s="58"/>
      <c r="I18" s="58"/>
      <c r="J18" s="59"/>
    </row>
    <row r="19" spans="1:10" s="30" customFormat="1" ht="32">
      <c r="A19" s="90" t="s">
        <v>396</v>
      </c>
      <c r="B19" s="86" t="s">
        <v>395</v>
      </c>
      <c r="C19" s="94" t="s">
        <v>187</v>
      </c>
      <c r="D19" s="94" t="s">
        <v>401</v>
      </c>
      <c r="E19" s="94" t="s">
        <v>190</v>
      </c>
      <c r="F19" s="95" t="s">
        <v>191</v>
      </c>
      <c r="G19" s="86"/>
      <c r="H19" s="69"/>
      <c r="I19" s="69"/>
      <c r="J19" s="70"/>
    </row>
    <row r="20" spans="1:10" s="30" customFormat="1" ht="19.5" customHeight="1">
      <c r="A20" s="71">
        <v>1</v>
      </c>
      <c r="B20" s="72" t="s">
        <v>393</v>
      </c>
      <c r="C20" s="72" t="s">
        <v>398</v>
      </c>
      <c r="D20" s="72">
        <v>488</v>
      </c>
      <c r="E20" s="72" t="s">
        <v>399</v>
      </c>
      <c r="F20" s="72" t="s">
        <v>400</v>
      </c>
      <c r="G20" s="72"/>
      <c r="H20" s="72"/>
      <c r="I20" s="72"/>
      <c r="J20" s="73"/>
    </row>
    <row r="21" spans="1:10" s="30" customFormat="1" ht="18.75" customHeight="1" thickBot="1">
      <c r="A21" s="71"/>
      <c r="B21" s="72"/>
      <c r="C21" s="72"/>
      <c r="D21" s="72"/>
      <c r="E21" s="72"/>
      <c r="F21" s="72"/>
      <c r="G21" s="72"/>
      <c r="H21" s="72"/>
      <c r="I21" s="72"/>
      <c r="J21" s="73"/>
    </row>
    <row r="22" spans="1:10" s="30" customFormat="1" ht="20" thickBot="1">
      <c r="A22" s="416" t="s">
        <v>12</v>
      </c>
      <c r="B22" s="417"/>
      <c r="C22" s="417"/>
      <c r="D22" s="417"/>
      <c r="E22" s="417"/>
      <c r="F22" s="417"/>
      <c r="G22" s="417"/>
      <c r="H22" s="417"/>
      <c r="I22" s="417"/>
      <c r="J22" s="418"/>
    </row>
    <row r="23" spans="1:10" s="30" customFormat="1" ht="44.25" customHeight="1">
      <c r="A23" s="81" t="s">
        <v>246</v>
      </c>
      <c r="B23" s="84" t="s">
        <v>403</v>
      </c>
      <c r="C23" s="84" t="s">
        <v>199</v>
      </c>
      <c r="D23" s="84" t="s">
        <v>247</v>
      </c>
      <c r="E23" s="58"/>
      <c r="F23" s="61"/>
      <c r="G23" s="58"/>
      <c r="H23" s="58"/>
      <c r="I23" s="58"/>
      <c r="J23" s="59"/>
    </row>
    <row r="24" spans="1:10" s="30" customFormat="1" ht="32">
      <c r="A24" s="90" t="s">
        <v>11</v>
      </c>
      <c r="B24" s="94" t="s">
        <v>192</v>
      </c>
      <c r="C24" s="94" t="s">
        <v>194</v>
      </c>
      <c r="D24" s="86" t="s">
        <v>166</v>
      </c>
      <c r="E24" s="76"/>
      <c r="F24" s="63"/>
      <c r="G24" s="63"/>
      <c r="H24" s="63"/>
      <c r="I24" s="63"/>
      <c r="J24" s="64"/>
    </row>
    <row r="25" spans="1:10" s="30" customFormat="1" ht="17" thickBot="1">
      <c r="A25" s="77">
        <v>4</v>
      </c>
      <c r="B25" s="74" t="s">
        <v>1</v>
      </c>
      <c r="C25" s="74" t="s">
        <v>14</v>
      </c>
      <c r="D25" s="39" t="s">
        <v>419</v>
      </c>
      <c r="E25" s="74"/>
      <c r="F25" s="74"/>
      <c r="G25" s="74"/>
      <c r="H25" s="74"/>
      <c r="I25" s="74"/>
      <c r="J25" s="75"/>
    </row>
    <row r="26" spans="1:10" s="30" customFormat="1" ht="18" customHeight="1" thickBot="1">
      <c r="A26" s="416" t="s">
        <v>404</v>
      </c>
      <c r="B26" s="417"/>
      <c r="C26" s="417"/>
      <c r="D26" s="417"/>
      <c r="E26" s="417"/>
      <c r="F26" s="417"/>
      <c r="G26" s="417"/>
      <c r="H26" s="417"/>
      <c r="I26" s="417"/>
      <c r="J26" s="418"/>
    </row>
    <row r="27" spans="1:10" s="30" customFormat="1" ht="32">
      <c r="A27" s="112" t="s">
        <v>374</v>
      </c>
      <c r="B27" s="105" t="s">
        <v>374</v>
      </c>
      <c r="C27" s="106" t="s">
        <v>319</v>
      </c>
      <c r="D27" s="106" t="s">
        <v>319</v>
      </c>
      <c r="E27" s="107" t="s">
        <v>198</v>
      </c>
      <c r="F27" s="108" t="s">
        <v>405</v>
      </c>
      <c r="G27" s="107" t="s">
        <v>198</v>
      </c>
      <c r="H27" s="110"/>
      <c r="I27" s="110"/>
      <c r="J27" s="111"/>
    </row>
    <row r="28" spans="1:10" s="30" customFormat="1">
      <c r="A28" s="85" t="s">
        <v>320</v>
      </c>
      <c r="B28" s="86" t="s">
        <v>321</v>
      </c>
      <c r="C28" s="87" t="s">
        <v>322</v>
      </c>
      <c r="D28" s="87" t="s">
        <v>323</v>
      </c>
      <c r="E28" s="87" t="s">
        <v>10</v>
      </c>
      <c r="F28" s="87" t="s">
        <v>67</v>
      </c>
      <c r="G28" s="86" t="s">
        <v>166</v>
      </c>
      <c r="H28" s="119"/>
      <c r="I28" s="119"/>
      <c r="J28" s="120"/>
    </row>
    <row r="29" spans="1:10" s="30" customFormat="1" ht="17" thickBot="1">
      <c r="A29" s="60"/>
      <c r="B29" s="39"/>
      <c r="C29" s="121"/>
      <c r="D29" s="121"/>
      <c r="E29" s="121"/>
      <c r="F29" s="121"/>
      <c r="G29" s="121"/>
      <c r="H29" s="121"/>
      <c r="I29" s="121"/>
      <c r="J29" s="122"/>
    </row>
    <row r="30" spans="1:10" s="30" customFormat="1" ht="20" thickBot="1">
      <c r="A30" s="416" t="s">
        <v>143</v>
      </c>
      <c r="B30" s="417"/>
      <c r="C30" s="417"/>
      <c r="D30" s="417"/>
      <c r="E30" s="417"/>
      <c r="F30" s="417"/>
      <c r="G30" s="417"/>
      <c r="H30" s="417"/>
      <c r="I30" s="417"/>
      <c r="J30" s="418"/>
    </row>
    <row r="31" spans="1:10" s="30" customFormat="1" ht="32">
      <c r="A31" s="112" t="s">
        <v>208</v>
      </c>
      <c r="B31" s="53" t="s">
        <v>276</v>
      </c>
      <c r="C31" s="53" t="s">
        <v>248</v>
      </c>
      <c r="D31" s="53" t="s">
        <v>195</v>
      </c>
      <c r="E31" s="53" t="s">
        <v>276</v>
      </c>
      <c r="F31" s="53" t="s">
        <v>327</v>
      </c>
      <c r="G31" s="105"/>
      <c r="H31" s="106"/>
      <c r="I31" s="53"/>
      <c r="J31" s="123"/>
    </row>
    <row r="32" spans="1:10" s="30" customFormat="1" ht="32">
      <c r="A32" s="124"/>
      <c r="B32" s="97" t="s">
        <v>13</v>
      </c>
      <c r="C32" s="97" t="s">
        <v>193</v>
      </c>
      <c r="D32" s="94" t="s">
        <v>144</v>
      </c>
      <c r="E32" s="94" t="s">
        <v>277</v>
      </c>
      <c r="F32" s="97"/>
      <c r="G32" s="86"/>
      <c r="H32" s="87"/>
      <c r="I32" s="97"/>
      <c r="J32" s="78"/>
    </row>
    <row r="33" spans="1:10" s="30" customFormat="1" ht="17" thickBot="1">
      <c r="A33" s="37"/>
      <c r="B33" s="146" t="s">
        <v>279</v>
      </c>
      <c r="C33" s="80"/>
      <c r="D33" s="39"/>
      <c r="E33" s="39" t="s">
        <v>280</v>
      </c>
      <c r="F33" s="79"/>
      <c r="G33" s="39"/>
      <c r="H33" s="121"/>
      <c r="I33" s="79"/>
      <c r="J33" s="75"/>
    </row>
    <row r="34" spans="1:10" s="30" customFormat="1" ht="27.75" customHeight="1" thickBot="1"/>
    <row r="35" spans="1:10" s="30" customFormat="1" ht="19">
      <c r="A35" s="407" t="s">
        <v>207</v>
      </c>
      <c r="B35" s="408"/>
      <c r="C35" s="408"/>
      <c r="D35" s="408"/>
      <c r="E35" s="408"/>
      <c r="F35" s="408"/>
      <c r="G35" s="408"/>
      <c r="H35" s="409"/>
    </row>
    <row r="36" spans="1:10" s="30" customFormat="1">
      <c r="A36" s="410" t="s">
        <v>270</v>
      </c>
      <c r="B36" s="411"/>
      <c r="C36" s="411"/>
      <c r="D36" s="411"/>
      <c r="E36" s="411"/>
      <c r="F36" s="411"/>
      <c r="G36" s="411"/>
      <c r="H36" s="412"/>
    </row>
    <row r="37" spans="1:10" s="30" customFormat="1">
      <c r="A37" s="410"/>
      <c r="B37" s="411"/>
      <c r="C37" s="411"/>
      <c r="D37" s="411"/>
      <c r="E37" s="411"/>
      <c r="F37" s="411"/>
      <c r="G37" s="411"/>
      <c r="H37" s="412"/>
    </row>
    <row r="38" spans="1:10">
      <c r="A38" s="410"/>
      <c r="B38" s="411"/>
      <c r="C38" s="411"/>
      <c r="D38" s="411"/>
      <c r="E38" s="411"/>
      <c r="F38" s="411"/>
      <c r="G38" s="411"/>
      <c r="H38" s="412"/>
      <c r="I38" s="30"/>
      <c r="J38" s="30"/>
    </row>
    <row r="39" spans="1:10" ht="17" thickBot="1">
      <c r="A39" s="413"/>
      <c r="B39" s="414"/>
      <c r="C39" s="414"/>
      <c r="D39" s="414"/>
      <c r="E39" s="414"/>
      <c r="F39" s="414"/>
      <c r="G39" s="414"/>
      <c r="H39" s="415"/>
      <c r="I39" s="30"/>
      <c r="J39" s="30"/>
    </row>
    <row r="40" spans="1:10">
      <c r="A40" s="30"/>
      <c r="B40" s="30"/>
      <c r="C40" s="30"/>
      <c r="D40" s="30"/>
      <c r="E40" s="30"/>
      <c r="F40" s="30"/>
      <c r="G40" s="30"/>
      <c r="H40" s="30"/>
      <c r="I40" s="30"/>
      <c r="J40" s="30"/>
    </row>
    <row r="41" spans="1:10" ht="21">
      <c r="A41" s="393" t="s">
        <v>228</v>
      </c>
      <c r="B41" s="393"/>
      <c r="C41" s="393"/>
      <c r="D41" s="393"/>
      <c r="E41" s="393"/>
      <c r="F41" s="393"/>
      <c r="G41" s="393"/>
      <c r="H41" s="30"/>
      <c r="I41" s="30"/>
      <c r="J41" s="30"/>
    </row>
    <row r="42" spans="1:10">
      <c r="A42" s="104" t="s">
        <v>235</v>
      </c>
      <c r="B42" s="104" t="s">
        <v>229</v>
      </c>
      <c r="C42" s="104" t="s">
        <v>230</v>
      </c>
      <c r="D42" s="392" t="s">
        <v>231</v>
      </c>
      <c r="E42" s="392"/>
      <c r="F42" s="392"/>
      <c r="G42" s="392"/>
      <c r="H42" s="30"/>
      <c r="I42" s="30"/>
      <c r="J42" s="30"/>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12700</xdr:colOff>
                    <xdr:row>31</xdr:row>
                    <xdr:rowOff>12700</xdr:rowOff>
                  </from>
                  <to>
                    <xdr:col>0</xdr:col>
                    <xdr:colOff>1663700</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12700</xdr:colOff>
                    <xdr:row>31</xdr:row>
                    <xdr:rowOff>25400</xdr:rowOff>
                  </from>
                  <to>
                    <xdr:col>6</xdr:col>
                    <xdr:colOff>0</xdr:colOff>
                    <xdr:row>32</xdr:row>
                    <xdr:rowOff>203200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autoPageBreaks="0"/>
  </sheetPr>
  <dimension ref="A1:Q66"/>
  <sheetViews>
    <sheetView zoomScale="82" zoomScaleNormal="82" workbookViewId="0">
      <selection activeCell="A8" sqref="A8:F8"/>
    </sheetView>
  </sheetViews>
  <sheetFormatPr baseColWidth="10" defaultColWidth="8.83203125" defaultRowHeight="16"/>
  <cols>
    <col min="1" max="1" width="21.6640625" customWidth="1"/>
    <col min="2" max="2" width="23.83203125" customWidth="1"/>
    <col min="3" max="3" width="17.5" customWidth="1"/>
    <col min="4" max="4" width="12.33203125" customWidth="1"/>
    <col min="5" max="5" width="16.1640625" customWidth="1"/>
    <col min="6" max="6" width="13" customWidth="1"/>
    <col min="7" max="7" width="16.1640625" customWidth="1"/>
    <col min="8" max="8" width="15.1640625" customWidth="1"/>
    <col min="9" max="9" width="14.6640625" customWidth="1"/>
    <col min="10" max="10" width="16.5" customWidth="1"/>
    <col min="11" max="11" width="12.1640625" customWidth="1"/>
    <col min="12" max="12" width="13.1640625" customWidth="1"/>
    <col min="13" max="13" width="17.5" customWidth="1"/>
    <col min="14" max="14" width="19.1640625" customWidth="1"/>
    <col min="15" max="15" width="16.1640625" customWidth="1"/>
    <col min="16" max="16" width="11.83203125" customWidth="1"/>
    <col min="17" max="17" width="12.1640625" customWidth="1"/>
  </cols>
  <sheetData>
    <row r="1" spans="1:17" s="40" customFormat="1" ht="19">
      <c r="A1" s="430" t="s">
        <v>307</v>
      </c>
      <c r="B1" s="430"/>
      <c r="C1" s="430"/>
      <c r="D1" s="430"/>
      <c r="E1" s="430"/>
      <c r="F1" s="430"/>
      <c r="G1" s="430"/>
      <c r="H1" s="430"/>
      <c r="I1" s="430"/>
      <c r="J1" s="430"/>
      <c r="K1" s="430"/>
      <c r="L1" s="430"/>
      <c r="M1" s="430"/>
      <c r="N1" s="430"/>
      <c r="O1" s="430"/>
      <c r="P1" s="41"/>
      <c r="Q1" s="41"/>
    </row>
    <row r="2" spans="1:17" s="40" customFormat="1" ht="21.75" customHeight="1">
      <c r="A2" s="427" t="s">
        <v>206</v>
      </c>
      <c r="B2" s="428"/>
      <c r="C2" s="428"/>
      <c r="D2" s="428"/>
      <c r="E2" s="428"/>
      <c r="F2" s="429"/>
      <c r="G2" s="431" t="s">
        <v>176</v>
      </c>
      <c r="H2" s="431"/>
      <c r="I2" s="431"/>
      <c r="J2" s="431"/>
      <c r="K2" s="431"/>
      <c r="L2" s="431"/>
      <c r="M2" s="423" t="s">
        <v>219</v>
      </c>
      <c r="N2" s="423"/>
      <c r="O2" s="423"/>
      <c r="P2" s="42"/>
      <c r="Q2" s="42"/>
    </row>
    <row r="3" spans="1:17" s="40" customFormat="1" ht="72" customHeight="1">
      <c r="A3" s="424" t="s">
        <v>314</v>
      </c>
      <c r="B3" s="425"/>
      <c r="C3" s="425"/>
      <c r="D3" s="425"/>
      <c r="E3" s="425"/>
      <c r="F3" s="426"/>
      <c r="G3" s="433" t="s">
        <v>224</v>
      </c>
      <c r="H3" s="433"/>
      <c r="I3" s="433"/>
      <c r="J3" s="433"/>
      <c r="K3" s="433"/>
      <c r="L3" s="433"/>
      <c r="M3" s="98" t="s">
        <v>223</v>
      </c>
      <c r="N3" s="98" t="s">
        <v>276</v>
      </c>
      <c r="O3" s="98" t="s">
        <v>276</v>
      </c>
      <c r="P3" s="43"/>
    </row>
    <row r="4" spans="1:17" s="40" customFormat="1">
      <c r="A4" s="434" t="s">
        <v>311</v>
      </c>
      <c r="B4" s="435"/>
      <c r="C4" s="435"/>
      <c r="D4" s="435"/>
      <c r="E4" s="435"/>
      <c r="F4" s="436"/>
      <c r="G4" s="432" t="s">
        <v>177</v>
      </c>
      <c r="H4" s="432"/>
      <c r="I4" s="432"/>
      <c r="J4" s="432" t="s">
        <v>225</v>
      </c>
      <c r="K4" s="432"/>
      <c r="L4" s="432"/>
      <c r="M4" s="99" t="s">
        <v>144</v>
      </c>
      <c r="N4" s="99" t="s">
        <v>277</v>
      </c>
      <c r="O4" s="99" t="s">
        <v>13</v>
      </c>
    </row>
    <row r="5" spans="1:17" s="40" customFormat="1">
      <c r="A5" s="437"/>
      <c r="B5" s="438"/>
      <c r="C5" s="438"/>
      <c r="D5" s="438"/>
      <c r="E5" s="438"/>
      <c r="F5" s="439"/>
      <c r="G5" s="422" t="s">
        <v>205</v>
      </c>
      <c r="H5" s="422"/>
      <c r="I5" s="422"/>
      <c r="J5" s="422" t="s">
        <v>217</v>
      </c>
      <c r="K5" s="422"/>
      <c r="L5" s="422"/>
      <c r="M5" s="52"/>
      <c r="N5" s="52" t="s">
        <v>284</v>
      </c>
      <c r="O5" s="44" t="s">
        <v>286</v>
      </c>
    </row>
    <row r="6" spans="1:17" s="40" customFormat="1">
      <c r="A6" s="437" t="s">
        <v>312</v>
      </c>
      <c r="B6" s="438"/>
      <c r="C6" s="438"/>
      <c r="D6" s="438"/>
      <c r="E6" s="438"/>
      <c r="F6" s="439"/>
      <c r="G6" s="422" t="s">
        <v>212</v>
      </c>
      <c r="H6" s="422"/>
      <c r="I6" s="422"/>
      <c r="J6" s="422"/>
      <c r="K6" s="422"/>
      <c r="L6" s="422"/>
      <c r="M6" s="52"/>
      <c r="N6" s="52" t="s">
        <v>285</v>
      </c>
      <c r="O6" s="44" t="s">
        <v>287</v>
      </c>
    </row>
    <row r="7" spans="1:17" s="40" customFormat="1">
      <c r="A7" s="437" t="s">
        <v>313</v>
      </c>
      <c r="B7" s="438"/>
      <c r="C7" s="438"/>
      <c r="D7" s="438"/>
      <c r="E7" s="438"/>
      <c r="F7" s="439"/>
      <c r="G7" s="422"/>
      <c r="H7" s="422"/>
      <c r="I7" s="422"/>
      <c r="J7" s="422"/>
      <c r="K7" s="422"/>
      <c r="L7" s="422"/>
      <c r="M7" s="52"/>
      <c r="N7" s="52"/>
      <c r="O7" s="45"/>
    </row>
    <row r="8" spans="1:17" s="40" customFormat="1">
      <c r="A8" s="437"/>
      <c r="B8" s="438"/>
      <c r="C8" s="438"/>
      <c r="D8" s="438"/>
      <c r="E8" s="438"/>
      <c r="F8" s="439"/>
      <c r="G8" s="422"/>
      <c r="H8" s="422"/>
      <c r="I8" s="422"/>
      <c r="J8" s="422"/>
      <c r="K8" s="422"/>
      <c r="L8" s="422"/>
      <c r="M8" s="52"/>
      <c r="N8" s="52"/>
      <c r="O8" s="45"/>
    </row>
    <row r="9" spans="1:17" s="40" customFormat="1" ht="17" thickBot="1"/>
    <row r="10" spans="1:17" s="40" customFormat="1" ht="34.5" customHeight="1">
      <c r="A10" s="81" t="s">
        <v>208</v>
      </c>
      <c r="B10" s="84" t="s">
        <v>250</v>
      </c>
      <c r="C10" s="84" t="s">
        <v>276</v>
      </c>
      <c r="D10" s="83" t="s">
        <v>198</v>
      </c>
      <c r="E10" s="83" t="s">
        <v>198</v>
      </c>
      <c r="F10" s="83" t="s">
        <v>198</v>
      </c>
      <c r="G10" s="84" t="s">
        <v>203</v>
      </c>
      <c r="H10" s="84" t="s">
        <v>203</v>
      </c>
      <c r="I10" s="84" t="s">
        <v>203</v>
      </c>
      <c r="J10" s="100" t="s">
        <v>327</v>
      </c>
    </row>
    <row r="11" spans="1:17" s="40" customFormat="1" ht="32">
      <c r="A11" s="96"/>
      <c r="B11" s="97" t="s">
        <v>181</v>
      </c>
      <c r="C11" s="94" t="s">
        <v>275</v>
      </c>
      <c r="D11" s="97" t="s">
        <v>86</v>
      </c>
      <c r="E11" s="97" t="s">
        <v>87</v>
      </c>
      <c r="F11" s="97" t="s">
        <v>88</v>
      </c>
      <c r="G11" s="97" t="s">
        <v>183</v>
      </c>
      <c r="H11" s="97" t="s">
        <v>184</v>
      </c>
      <c r="I11" s="97" t="s">
        <v>185</v>
      </c>
      <c r="J11" s="134"/>
      <c r="K11" s="46"/>
      <c r="L11" s="46"/>
    </row>
    <row r="12" spans="1:17" s="40" customFormat="1" ht="17" thickBot="1">
      <c r="A12" s="37"/>
      <c r="B12" s="38"/>
      <c r="C12" s="118"/>
      <c r="D12" s="39">
        <v>100</v>
      </c>
      <c r="E12" s="39">
        <v>0</v>
      </c>
      <c r="F12" s="39"/>
      <c r="G12" s="39">
        <v>4</v>
      </c>
      <c r="H12" s="39">
        <v>10</v>
      </c>
      <c r="I12" s="39">
        <v>10</v>
      </c>
      <c r="J12" s="135"/>
    </row>
    <row r="13" spans="1:17" s="40" customFormat="1" ht="17" thickBot="1"/>
    <row r="14" spans="1:17" s="40" customFormat="1" ht="19">
      <c r="A14" s="407" t="s">
        <v>207</v>
      </c>
      <c r="B14" s="408"/>
      <c r="C14" s="408"/>
      <c r="D14" s="408"/>
      <c r="E14" s="408"/>
      <c r="F14" s="408"/>
      <c r="G14" s="408"/>
      <c r="H14" s="409"/>
    </row>
    <row r="15" spans="1:17" s="40" customFormat="1">
      <c r="A15" s="410" t="s">
        <v>272</v>
      </c>
      <c r="B15" s="411"/>
      <c r="C15" s="411"/>
      <c r="D15" s="411"/>
      <c r="E15" s="411"/>
      <c r="F15" s="411"/>
      <c r="G15" s="411"/>
      <c r="H15" s="412"/>
    </row>
    <row r="16" spans="1:17" s="40" customFormat="1">
      <c r="A16" s="410"/>
      <c r="B16" s="411"/>
      <c r="C16" s="411"/>
      <c r="D16" s="411"/>
      <c r="E16" s="411"/>
      <c r="F16" s="411"/>
      <c r="G16" s="411"/>
      <c r="H16" s="412"/>
    </row>
    <row r="17" spans="1:8" s="40" customFormat="1">
      <c r="A17" s="410"/>
      <c r="B17" s="411"/>
      <c r="C17" s="411"/>
      <c r="D17" s="411"/>
      <c r="E17" s="411"/>
      <c r="F17" s="411"/>
      <c r="G17" s="411"/>
      <c r="H17" s="412"/>
    </row>
    <row r="18" spans="1:8" s="40" customFormat="1" ht="17" thickBot="1">
      <c r="A18" s="413"/>
      <c r="B18" s="414"/>
      <c r="C18" s="414"/>
      <c r="D18" s="414"/>
      <c r="E18" s="414"/>
      <c r="F18" s="414"/>
      <c r="G18" s="414"/>
      <c r="H18" s="415"/>
    </row>
    <row r="19" spans="1:8" s="40" customFormat="1" ht="33" customHeight="1"/>
    <row r="20" spans="1:8" s="40" customFormat="1" ht="21">
      <c r="A20" s="393" t="s">
        <v>228</v>
      </c>
      <c r="B20" s="393"/>
      <c r="C20" s="393"/>
      <c r="D20" s="393"/>
      <c r="E20" s="393"/>
      <c r="F20" s="393"/>
      <c r="G20" s="393"/>
    </row>
    <row r="21" spans="1:8" s="40" customFormat="1">
      <c r="A21" s="51" t="s">
        <v>235</v>
      </c>
      <c r="B21" s="51" t="s">
        <v>229</v>
      </c>
      <c r="C21" s="51" t="s">
        <v>230</v>
      </c>
      <c r="D21" s="392" t="s">
        <v>231</v>
      </c>
      <c r="E21" s="392"/>
      <c r="F21" s="392"/>
      <c r="G21" s="392"/>
    </row>
    <row r="22" spans="1:8">
      <c r="A22" t="s">
        <v>232</v>
      </c>
      <c r="B22" t="s">
        <v>233</v>
      </c>
      <c r="C22" t="s">
        <v>372</v>
      </c>
      <c r="D22" s="125" t="s">
        <v>278</v>
      </c>
    </row>
    <row r="23" spans="1:8">
      <c r="A23" t="s">
        <v>251</v>
      </c>
      <c r="B23" t="s">
        <v>255</v>
      </c>
      <c r="C23" t="s">
        <v>372</v>
      </c>
      <c r="D23" s="126" t="s">
        <v>252</v>
      </c>
    </row>
    <row r="24" spans="1:8">
      <c r="A24" t="s">
        <v>251</v>
      </c>
      <c r="B24" t="s">
        <v>256</v>
      </c>
      <c r="C24" t="s">
        <v>372</v>
      </c>
      <c r="D24" s="125" t="s">
        <v>253</v>
      </c>
    </row>
    <row r="25" spans="1:8">
      <c r="A25" t="s">
        <v>251</v>
      </c>
      <c r="B25" t="s">
        <v>257</v>
      </c>
      <c r="C25" t="s">
        <v>372</v>
      </c>
      <c r="D25" s="125" t="s">
        <v>269</v>
      </c>
    </row>
    <row r="26" spans="1:8">
      <c r="A26" t="s">
        <v>251</v>
      </c>
      <c r="B26" t="s">
        <v>258</v>
      </c>
      <c r="C26" t="s">
        <v>372</v>
      </c>
      <c r="D26" s="127" t="s">
        <v>254</v>
      </c>
    </row>
    <row r="27" spans="1:8">
      <c r="A27" t="s">
        <v>333</v>
      </c>
      <c r="B27" t="s">
        <v>234</v>
      </c>
      <c r="C27" t="s">
        <v>372</v>
      </c>
      <c r="D27" s="126" t="s">
        <v>334</v>
      </c>
    </row>
    <row r="28" spans="1:8">
      <c r="A28" t="s">
        <v>333</v>
      </c>
      <c r="B28" t="s">
        <v>234</v>
      </c>
      <c r="C28" t="s">
        <v>372</v>
      </c>
      <c r="D28" s="126" t="s">
        <v>328</v>
      </c>
    </row>
    <row r="29" spans="1:8">
      <c r="A29" t="s">
        <v>333</v>
      </c>
      <c r="B29" t="s">
        <v>234</v>
      </c>
      <c r="C29" t="s">
        <v>372</v>
      </c>
      <c r="D29" s="126" t="s">
        <v>335</v>
      </c>
    </row>
    <row r="30" spans="1:8">
      <c r="A30" t="s">
        <v>333</v>
      </c>
      <c r="B30" t="s">
        <v>234</v>
      </c>
      <c r="C30" t="s">
        <v>372</v>
      </c>
      <c r="D30" s="126" t="s">
        <v>336</v>
      </c>
    </row>
    <row r="31" spans="1:8">
      <c r="A31" t="s">
        <v>333</v>
      </c>
      <c r="B31" t="s">
        <v>234</v>
      </c>
      <c r="C31" t="s">
        <v>372</v>
      </c>
      <c r="D31" s="126" t="s">
        <v>337</v>
      </c>
    </row>
    <row r="32" spans="1:8">
      <c r="A32" t="s">
        <v>333</v>
      </c>
      <c r="B32" t="s">
        <v>259</v>
      </c>
      <c r="C32" t="s">
        <v>372</v>
      </c>
      <c r="D32" s="126" t="s">
        <v>338</v>
      </c>
    </row>
    <row r="33" spans="1:4">
      <c r="A33" t="s">
        <v>282</v>
      </c>
      <c r="B33" t="s">
        <v>283</v>
      </c>
      <c r="C33" t="s">
        <v>372</v>
      </c>
      <c r="D33" s="125" t="s">
        <v>339</v>
      </c>
    </row>
    <row r="34" spans="1:4">
      <c r="A34" t="s">
        <v>282</v>
      </c>
      <c r="B34" t="s">
        <v>283</v>
      </c>
      <c r="C34" t="s">
        <v>372</v>
      </c>
      <c r="D34" s="125" t="s">
        <v>340</v>
      </c>
    </row>
    <row r="35" spans="1:4">
      <c r="A35" t="s">
        <v>282</v>
      </c>
      <c r="B35" t="s">
        <v>283</v>
      </c>
      <c r="C35" t="s">
        <v>372</v>
      </c>
      <c r="D35" s="125" t="s">
        <v>341</v>
      </c>
    </row>
    <row r="36" spans="1:4">
      <c r="A36" t="s">
        <v>282</v>
      </c>
      <c r="B36" t="s">
        <v>283</v>
      </c>
      <c r="C36" t="s">
        <v>372</v>
      </c>
      <c r="D36" s="125" t="s">
        <v>342</v>
      </c>
    </row>
    <row r="37" spans="1:4">
      <c r="A37" t="s">
        <v>282</v>
      </c>
      <c r="B37" t="s">
        <v>283</v>
      </c>
      <c r="C37" t="s">
        <v>372</v>
      </c>
      <c r="D37" s="125" t="s">
        <v>343</v>
      </c>
    </row>
    <row r="38" spans="1:4">
      <c r="A38" t="s">
        <v>282</v>
      </c>
      <c r="B38" t="s">
        <v>283</v>
      </c>
      <c r="C38" t="s">
        <v>372</v>
      </c>
      <c r="D38" s="125" t="s">
        <v>344</v>
      </c>
    </row>
    <row r="39" spans="1:4">
      <c r="A39" t="s">
        <v>282</v>
      </c>
      <c r="B39" t="s">
        <v>283</v>
      </c>
      <c r="C39" t="s">
        <v>372</v>
      </c>
      <c r="D39" s="125" t="s">
        <v>345</v>
      </c>
    </row>
    <row r="40" spans="1:4">
      <c r="A40" t="s">
        <v>282</v>
      </c>
      <c r="B40" t="s">
        <v>283</v>
      </c>
      <c r="C40" t="s">
        <v>372</v>
      </c>
      <c r="D40" s="125" t="s">
        <v>346</v>
      </c>
    </row>
    <row r="41" spans="1:4">
      <c r="A41" t="s">
        <v>282</v>
      </c>
      <c r="B41" t="s">
        <v>283</v>
      </c>
      <c r="C41" t="s">
        <v>372</v>
      </c>
      <c r="D41" s="125" t="s">
        <v>347</v>
      </c>
    </row>
    <row r="42" spans="1:4">
      <c r="A42" t="s">
        <v>282</v>
      </c>
      <c r="B42" t="s">
        <v>283</v>
      </c>
      <c r="C42" t="s">
        <v>372</v>
      </c>
      <c r="D42" s="125" t="s">
        <v>346</v>
      </c>
    </row>
    <row r="43" spans="1:4">
      <c r="A43" t="s">
        <v>282</v>
      </c>
      <c r="B43" t="s">
        <v>283</v>
      </c>
      <c r="C43" t="s">
        <v>372</v>
      </c>
      <c r="D43" s="125" t="s">
        <v>348</v>
      </c>
    </row>
    <row r="44" spans="1:4">
      <c r="A44" t="s">
        <v>282</v>
      </c>
      <c r="B44" t="s">
        <v>283</v>
      </c>
      <c r="C44" t="s">
        <v>372</v>
      </c>
      <c r="D44" s="125" t="s">
        <v>349</v>
      </c>
    </row>
    <row r="45" spans="1:4">
      <c r="A45" t="s">
        <v>282</v>
      </c>
      <c r="B45" t="s">
        <v>283</v>
      </c>
      <c r="C45" t="s">
        <v>372</v>
      </c>
      <c r="D45" s="125" t="s">
        <v>350</v>
      </c>
    </row>
    <row r="46" spans="1:4">
      <c r="A46" t="s">
        <v>282</v>
      </c>
      <c r="B46" t="s">
        <v>283</v>
      </c>
      <c r="C46" t="s">
        <v>372</v>
      </c>
      <c r="D46" s="125" t="s">
        <v>351</v>
      </c>
    </row>
    <row r="47" spans="1:4">
      <c r="A47" t="s">
        <v>282</v>
      </c>
      <c r="B47" t="s">
        <v>283</v>
      </c>
      <c r="C47" t="s">
        <v>372</v>
      </c>
      <c r="D47" s="125" t="s">
        <v>352</v>
      </c>
    </row>
    <row r="48" spans="1:4">
      <c r="A48" t="s">
        <v>282</v>
      </c>
      <c r="B48" t="s">
        <v>283</v>
      </c>
      <c r="C48" t="s">
        <v>372</v>
      </c>
      <c r="D48" s="125" t="s">
        <v>353</v>
      </c>
    </row>
    <row r="49" spans="1:4">
      <c r="A49" t="s">
        <v>282</v>
      </c>
      <c r="B49" t="s">
        <v>283</v>
      </c>
      <c r="C49" t="s">
        <v>372</v>
      </c>
      <c r="D49" s="125" t="s">
        <v>354</v>
      </c>
    </row>
    <row r="50" spans="1:4">
      <c r="A50" t="s">
        <v>333</v>
      </c>
      <c r="B50" t="s">
        <v>259</v>
      </c>
      <c r="C50" t="s">
        <v>372</v>
      </c>
      <c r="D50" s="126" t="s">
        <v>338</v>
      </c>
    </row>
    <row r="51" spans="1:4">
      <c r="A51" t="s">
        <v>282</v>
      </c>
      <c r="B51" t="s">
        <v>283</v>
      </c>
      <c r="C51" t="s">
        <v>372</v>
      </c>
      <c r="D51" s="125" t="s">
        <v>355</v>
      </c>
    </row>
    <row r="52" spans="1:4">
      <c r="A52" t="s">
        <v>282</v>
      </c>
      <c r="B52" t="s">
        <v>283</v>
      </c>
      <c r="C52" t="s">
        <v>372</v>
      </c>
      <c r="D52" s="125" t="s">
        <v>356</v>
      </c>
    </row>
    <row r="53" spans="1:4">
      <c r="A53" t="s">
        <v>282</v>
      </c>
      <c r="B53" t="s">
        <v>283</v>
      </c>
      <c r="C53" t="s">
        <v>372</v>
      </c>
      <c r="D53" s="125" t="s">
        <v>357</v>
      </c>
    </row>
    <row r="54" spans="1:4">
      <c r="A54" t="s">
        <v>282</v>
      </c>
      <c r="B54" t="s">
        <v>283</v>
      </c>
      <c r="C54" t="s">
        <v>372</v>
      </c>
      <c r="D54" s="125" t="s">
        <v>358</v>
      </c>
    </row>
    <row r="55" spans="1:4">
      <c r="A55" t="s">
        <v>282</v>
      </c>
      <c r="B55" t="s">
        <v>283</v>
      </c>
      <c r="C55" t="s">
        <v>372</v>
      </c>
      <c r="D55" s="125" t="s">
        <v>359</v>
      </c>
    </row>
    <row r="56" spans="1:4">
      <c r="A56" t="s">
        <v>282</v>
      </c>
      <c r="B56" t="s">
        <v>283</v>
      </c>
      <c r="C56" t="s">
        <v>372</v>
      </c>
      <c r="D56" s="125" t="s">
        <v>360</v>
      </c>
    </row>
    <row r="57" spans="1:4">
      <c r="A57" t="s">
        <v>282</v>
      </c>
      <c r="B57" t="s">
        <v>283</v>
      </c>
      <c r="C57" t="s">
        <v>372</v>
      </c>
      <c r="D57" s="125" t="s">
        <v>361</v>
      </c>
    </row>
    <row r="58" spans="1:4">
      <c r="A58" t="s">
        <v>282</v>
      </c>
      <c r="B58" t="s">
        <v>283</v>
      </c>
      <c r="C58" t="s">
        <v>372</v>
      </c>
      <c r="D58" s="125" t="s">
        <v>360</v>
      </c>
    </row>
    <row r="59" spans="1:4">
      <c r="A59" t="s">
        <v>282</v>
      </c>
      <c r="B59" t="s">
        <v>283</v>
      </c>
      <c r="C59" t="s">
        <v>372</v>
      </c>
      <c r="D59" s="125" t="s">
        <v>362</v>
      </c>
    </row>
    <row r="60" spans="1:4">
      <c r="A60" t="s">
        <v>282</v>
      </c>
      <c r="B60" t="s">
        <v>283</v>
      </c>
      <c r="C60" t="s">
        <v>372</v>
      </c>
      <c r="D60" s="125" t="s">
        <v>363</v>
      </c>
    </row>
    <row r="61" spans="1:4">
      <c r="A61" t="s">
        <v>282</v>
      </c>
      <c r="B61" t="s">
        <v>283</v>
      </c>
      <c r="C61" t="s">
        <v>372</v>
      </c>
      <c r="D61" s="125" t="s">
        <v>364</v>
      </c>
    </row>
    <row r="62" spans="1:4">
      <c r="A62" t="s">
        <v>282</v>
      </c>
      <c r="B62" t="s">
        <v>283</v>
      </c>
      <c r="C62" t="s">
        <v>372</v>
      </c>
      <c r="D62" s="125" t="s">
        <v>365</v>
      </c>
    </row>
    <row r="63" spans="1:4">
      <c r="A63" t="s">
        <v>282</v>
      </c>
      <c r="B63" t="s">
        <v>283</v>
      </c>
      <c r="C63" t="s">
        <v>372</v>
      </c>
      <c r="D63" s="125" t="s">
        <v>366</v>
      </c>
    </row>
    <row r="64" spans="1:4">
      <c r="A64" t="s">
        <v>282</v>
      </c>
      <c r="B64" t="s">
        <v>283</v>
      </c>
      <c r="C64" t="s">
        <v>372</v>
      </c>
      <c r="D64" s="125" t="s">
        <v>367</v>
      </c>
    </row>
    <row r="65" spans="1:4">
      <c r="A65" t="s">
        <v>282</v>
      </c>
      <c r="B65" t="s">
        <v>283</v>
      </c>
      <c r="C65" t="s">
        <v>372</v>
      </c>
      <c r="D65" s="125" t="s">
        <v>368</v>
      </c>
    </row>
    <row r="66" spans="1:4">
      <c r="D66" s="137"/>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12700</xdr:colOff>
                    <xdr:row>10</xdr:row>
                    <xdr:rowOff>12700</xdr:rowOff>
                  </from>
                  <to>
                    <xdr:col>0</xdr:col>
                    <xdr:colOff>1016000</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12700</xdr:colOff>
                    <xdr:row>10</xdr:row>
                    <xdr:rowOff>12700</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9</xdr:col>
                    <xdr:colOff>12700</xdr:colOff>
                    <xdr:row>10</xdr:row>
                    <xdr:rowOff>12700</xdr:rowOff>
                  </from>
                  <to>
                    <xdr:col>9</xdr:col>
                    <xdr:colOff>1244600</xdr:colOff>
                    <xdr:row>12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autoPageBreaks="0"/>
  </sheetPr>
  <dimension ref="A1:Q33"/>
  <sheetViews>
    <sheetView zoomScale="84" zoomScaleNormal="84" workbookViewId="0">
      <selection activeCell="J28" sqref="J28"/>
    </sheetView>
  </sheetViews>
  <sheetFormatPr baseColWidth="10" defaultColWidth="8.83203125" defaultRowHeight="16"/>
  <cols>
    <col min="1" max="1" width="24.5" customWidth="1"/>
    <col min="2" max="2" width="21.83203125" customWidth="1"/>
    <col min="3" max="3" width="20.6640625" customWidth="1"/>
    <col min="4" max="4" width="14" customWidth="1"/>
    <col min="5" max="5" width="14.1640625" customWidth="1"/>
    <col min="6" max="6" width="13.33203125" customWidth="1"/>
    <col min="7" max="7" width="11.33203125" customWidth="1"/>
    <col min="8" max="8" width="12.1640625" customWidth="1"/>
    <col min="9" max="9" width="11.33203125" customWidth="1"/>
    <col min="10" max="10" width="16" customWidth="1"/>
    <col min="11" max="11" width="12.6640625" customWidth="1"/>
    <col min="12" max="12" width="13.33203125" customWidth="1"/>
    <col min="13" max="13" width="13" customWidth="1"/>
    <col min="14" max="14" width="17.6640625" customWidth="1"/>
    <col min="15" max="15" width="14.1640625" customWidth="1"/>
    <col min="16" max="16" width="12.1640625" customWidth="1"/>
    <col min="17" max="17" width="13.6640625" customWidth="1"/>
  </cols>
  <sheetData>
    <row r="1" spans="1:17" s="40" customFormat="1" ht="19">
      <c r="A1" s="430" t="s">
        <v>308</v>
      </c>
      <c r="B1" s="430"/>
      <c r="C1" s="430"/>
      <c r="D1" s="430"/>
      <c r="E1" s="430"/>
      <c r="F1" s="430"/>
      <c r="G1" s="430"/>
      <c r="H1" s="430"/>
      <c r="I1" s="430"/>
      <c r="J1" s="430"/>
      <c r="K1" s="430"/>
      <c r="L1" s="430"/>
      <c r="M1" s="430"/>
      <c r="N1" s="430"/>
      <c r="O1" s="430"/>
      <c r="P1" s="430"/>
      <c r="Q1" s="41"/>
    </row>
    <row r="2" spans="1:17" s="40" customFormat="1" ht="19.5" customHeight="1">
      <c r="A2" s="431" t="s">
        <v>206</v>
      </c>
      <c r="B2" s="431"/>
      <c r="C2" s="431"/>
      <c r="D2" s="431"/>
      <c r="E2" s="431"/>
      <c r="F2" s="431"/>
      <c r="G2" s="431" t="s">
        <v>176</v>
      </c>
      <c r="H2" s="431"/>
      <c r="I2" s="431"/>
      <c r="J2" s="431"/>
      <c r="K2" s="431"/>
      <c r="L2" s="431"/>
      <c r="M2" s="423" t="s">
        <v>218</v>
      </c>
      <c r="N2" s="423"/>
      <c r="O2" s="423"/>
      <c r="P2" s="423"/>
      <c r="Q2" s="42"/>
    </row>
    <row r="3" spans="1:17" s="40" customFormat="1" ht="57" customHeight="1">
      <c r="A3" s="433" t="s">
        <v>315</v>
      </c>
      <c r="B3" s="433"/>
      <c r="C3" s="433"/>
      <c r="D3" s="433"/>
      <c r="E3" s="433"/>
      <c r="F3" s="433"/>
      <c r="G3" s="433" t="s">
        <v>220</v>
      </c>
      <c r="H3" s="433"/>
      <c r="I3" s="433"/>
      <c r="J3" s="433"/>
      <c r="K3" s="433"/>
      <c r="L3" s="433"/>
      <c r="M3" s="98" t="s">
        <v>222</v>
      </c>
      <c r="N3" s="98" t="s">
        <v>221</v>
      </c>
      <c r="O3" s="98" t="s">
        <v>276</v>
      </c>
      <c r="P3" s="98" t="s">
        <v>276</v>
      </c>
      <c r="Q3" s="101"/>
    </row>
    <row r="4" spans="1:17" s="40" customFormat="1">
      <c r="A4" s="434" t="s">
        <v>311</v>
      </c>
      <c r="B4" s="435"/>
      <c r="C4" s="435"/>
      <c r="D4" s="435"/>
      <c r="E4" s="435"/>
      <c r="F4" s="436"/>
      <c r="G4" s="432" t="s">
        <v>178</v>
      </c>
      <c r="H4" s="432"/>
      <c r="I4" s="432"/>
      <c r="J4" s="432"/>
      <c r="K4" s="432"/>
      <c r="L4" s="432"/>
      <c r="M4" s="99" t="s">
        <v>182</v>
      </c>
      <c r="N4" s="99" t="s">
        <v>144</v>
      </c>
      <c r="O4" s="99" t="s">
        <v>277</v>
      </c>
      <c r="P4" s="99" t="s">
        <v>13</v>
      </c>
    </row>
    <row r="5" spans="1:17" s="40" customFormat="1" ht="33.75" customHeight="1">
      <c r="A5" s="437"/>
      <c r="B5" s="438"/>
      <c r="C5" s="438"/>
      <c r="D5" s="438"/>
      <c r="E5" s="438"/>
      <c r="F5" s="439"/>
      <c r="G5" s="440" t="s">
        <v>3</v>
      </c>
      <c r="H5" s="440"/>
      <c r="I5" s="440"/>
      <c r="J5" s="440"/>
      <c r="K5" s="440"/>
      <c r="L5" s="440"/>
      <c r="M5" s="52" t="s">
        <v>216</v>
      </c>
      <c r="N5" s="52"/>
      <c r="O5" s="52" t="s">
        <v>369</v>
      </c>
      <c r="P5" s="52" t="s">
        <v>370</v>
      </c>
    </row>
    <row r="6" spans="1:17" s="40" customFormat="1">
      <c r="A6" s="437"/>
      <c r="B6" s="438"/>
      <c r="C6" s="438"/>
      <c r="D6" s="438"/>
      <c r="E6" s="438"/>
      <c r="F6" s="439"/>
      <c r="G6" s="440"/>
      <c r="H6" s="440"/>
      <c r="I6" s="440"/>
      <c r="J6" s="440"/>
      <c r="K6" s="440"/>
      <c r="L6" s="440"/>
      <c r="M6" s="52"/>
      <c r="N6" s="52"/>
      <c r="O6" s="113"/>
      <c r="P6" s="113"/>
    </row>
    <row r="7" spans="1:17" s="40" customFormat="1" ht="17.25" customHeight="1">
      <c r="A7" s="437"/>
      <c r="B7" s="438"/>
      <c r="C7" s="438"/>
      <c r="D7" s="438"/>
      <c r="E7" s="438"/>
      <c r="F7" s="439"/>
      <c r="G7" s="440"/>
      <c r="H7" s="440"/>
      <c r="I7" s="440"/>
      <c r="J7" s="440"/>
      <c r="K7" s="440"/>
      <c r="L7" s="440"/>
      <c r="M7" s="52"/>
      <c r="N7" s="52"/>
      <c r="O7" s="52"/>
      <c r="P7" s="102"/>
    </row>
    <row r="8" spans="1:17" s="40" customFormat="1" ht="15.75" customHeight="1" thickBot="1"/>
    <row r="9" spans="1:17" s="40" customFormat="1" ht="30.75" customHeight="1">
      <c r="A9" s="81" t="s">
        <v>208</v>
      </c>
      <c r="B9" s="84" t="s">
        <v>250</v>
      </c>
      <c r="C9" s="84" t="s">
        <v>276</v>
      </c>
      <c r="D9" s="83" t="s">
        <v>198</v>
      </c>
      <c r="E9" s="83" t="s">
        <v>198</v>
      </c>
      <c r="F9" s="83" t="s">
        <v>198</v>
      </c>
      <c r="G9" s="84" t="s">
        <v>203</v>
      </c>
      <c r="H9" s="84" t="s">
        <v>203</v>
      </c>
      <c r="I9" s="84" t="s">
        <v>203</v>
      </c>
      <c r="J9" s="100" t="s">
        <v>327</v>
      </c>
    </row>
    <row r="10" spans="1:17" s="40" customFormat="1" ht="36.75" customHeight="1">
      <c r="A10" s="96"/>
      <c r="B10" s="97" t="s">
        <v>181</v>
      </c>
      <c r="C10" s="94" t="s">
        <v>275</v>
      </c>
      <c r="D10" s="97" t="s">
        <v>86</v>
      </c>
      <c r="E10" s="97" t="s">
        <v>87</v>
      </c>
      <c r="F10" s="97" t="s">
        <v>88</v>
      </c>
      <c r="G10" s="97" t="s">
        <v>183</v>
      </c>
      <c r="H10" s="97" t="s">
        <v>184</v>
      </c>
      <c r="I10" s="97" t="s">
        <v>185</v>
      </c>
      <c r="J10" s="134"/>
    </row>
    <row r="11" spans="1:17" s="40" customFormat="1" ht="17" thickBot="1">
      <c r="A11" s="37"/>
      <c r="B11" s="38"/>
      <c r="C11" s="118"/>
      <c r="D11" s="39">
        <v>100</v>
      </c>
      <c r="E11" s="39">
        <v>0</v>
      </c>
      <c r="F11" s="39"/>
      <c r="G11" s="39">
        <v>4</v>
      </c>
      <c r="H11" s="39">
        <v>10</v>
      </c>
      <c r="I11" s="39">
        <v>10</v>
      </c>
      <c r="J11" s="135"/>
      <c r="K11" s="103"/>
    </row>
    <row r="12" spans="1:17" s="40" customFormat="1" ht="18" customHeight="1" thickBot="1"/>
    <row r="13" spans="1:17" s="40" customFormat="1" ht="19">
      <c r="A13" s="407" t="s">
        <v>207</v>
      </c>
      <c r="B13" s="408"/>
      <c r="C13" s="408"/>
      <c r="D13" s="408"/>
      <c r="E13" s="408"/>
      <c r="F13" s="408"/>
      <c r="G13" s="408"/>
      <c r="H13" s="409"/>
    </row>
    <row r="14" spans="1:17" s="40" customFormat="1">
      <c r="A14" s="410" t="s">
        <v>273</v>
      </c>
      <c r="B14" s="411"/>
      <c r="C14" s="411"/>
      <c r="D14" s="411"/>
      <c r="E14" s="411"/>
      <c r="F14" s="411"/>
      <c r="G14" s="411"/>
      <c r="H14" s="412"/>
    </row>
    <row r="15" spans="1:17" s="40" customFormat="1">
      <c r="A15" s="410"/>
      <c r="B15" s="411"/>
      <c r="C15" s="411"/>
      <c r="D15" s="411"/>
      <c r="E15" s="411"/>
      <c r="F15" s="411"/>
      <c r="G15" s="411"/>
      <c r="H15" s="412"/>
    </row>
    <row r="16" spans="1:17" s="40" customFormat="1">
      <c r="A16" s="410"/>
      <c r="B16" s="411"/>
      <c r="C16" s="411"/>
      <c r="D16" s="411"/>
      <c r="E16" s="411"/>
      <c r="F16" s="411"/>
      <c r="G16" s="411"/>
      <c r="H16" s="412"/>
    </row>
    <row r="17" spans="1:8" s="40" customFormat="1" ht="17" thickBot="1">
      <c r="A17" s="413"/>
      <c r="B17" s="414"/>
      <c r="C17" s="414"/>
      <c r="D17" s="414"/>
      <c r="E17" s="414"/>
      <c r="F17" s="414"/>
      <c r="G17" s="414"/>
      <c r="H17" s="415"/>
    </row>
    <row r="18" spans="1:8" s="40" customFormat="1"/>
    <row r="19" spans="1:8" s="40" customFormat="1" ht="31.5" customHeight="1">
      <c r="A19" s="393" t="s">
        <v>228</v>
      </c>
      <c r="B19" s="393"/>
      <c r="C19" s="393"/>
      <c r="D19" s="393"/>
      <c r="E19" s="393"/>
      <c r="F19" s="393"/>
      <c r="G19" s="393"/>
    </row>
    <row r="20" spans="1:8" s="40" customFormat="1">
      <c r="A20" s="51" t="s">
        <v>235</v>
      </c>
      <c r="B20" s="51" t="s">
        <v>229</v>
      </c>
      <c r="C20" s="51" t="s">
        <v>230</v>
      </c>
      <c r="D20" s="392" t="s">
        <v>231</v>
      </c>
      <c r="E20" s="392"/>
      <c r="F20" s="392"/>
      <c r="G20" s="392"/>
    </row>
    <row r="21" spans="1:8">
      <c r="A21" t="s">
        <v>232</v>
      </c>
      <c r="B21" t="s">
        <v>233</v>
      </c>
      <c r="C21" t="s">
        <v>373</v>
      </c>
      <c r="D21" s="125" t="s">
        <v>278</v>
      </c>
    </row>
    <row r="22" spans="1:8">
      <c r="A22" t="s">
        <v>251</v>
      </c>
      <c r="B22" t="s">
        <v>255</v>
      </c>
      <c r="C22" t="s">
        <v>373</v>
      </c>
      <c r="D22" s="126" t="s">
        <v>252</v>
      </c>
    </row>
    <row r="23" spans="1:8">
      <c r="A23" t="s">
        <v>251</v>
      </c>
      <c r="B23" t="s">
        <v>256</v>
      </c>
      <c r="C23" t="s">
        <v>373</v>
      </c>
      <c r="D23" s="125" t="s">
        <v>253</v>
      </c>
    </row>
    <row r="24" spans="1:8">
      <c r="A24" t="s">
        <v>251</v>
      </c>
      <c r="B24" t="s">
        <v>257</v>
      </c>
      <c r="C24" t="s">
        <v>373</v>
      </c>
      <c r="D24" s="125" t="s">
        <v>269</v>
      </c>
    </row>
    <row r="25" spans="1:8">
      <c r="A25" t="s">
        <v>251</v>
      </c>
      <c r="B25" t="s">
        <v>258</v>
      </c>
      <c r="C25" t="s">
        <v>373</v>
      </c>
      <c r="D25" s="127" t="s">
        <v>254</v>
      </c>
    </row>
    <row r="26" spans="1:8">
      <c r="A26" t="s">
        <v>260</v>
      </c>
      <c r="B26" t="s">
        <v>234</v>
      </c>
      <c r="C26" t="s">
        <v>373</v>
      </c>
      <c r="D26" s="126" t="s">
        <v>329</v>
      </c>
    </row>
    <row r="27" spans="1:8">
      <c r="A27" t="s">
        <v>260</v>
      </c>
      <c r="B27" t="s">
        <v>234</v>
      </c>
      <c r="C27" t="s">
        <v>373</v>
      </c>
      <c r="D27" s="126" t="s">
        <v>328</v>
      </c>
    </row>
    <row r="28" spans="1:8">
      <c r="A28" t="s">
        <v>260</v>
      </c>
      <c r="B28" t="s">
        <v>234</v>
      </c>
      <c r="C28" t="s">
        <v>373</v>
      </c>
      <c r="D28" s="126" t="s">
        <v>330</v>
      </c>
    </row>
    <row r="29" spans="1:8">
      <c r="A29" t="s">
        <v>260</v>
      </c>
      <c r="B29" t="s">
        <v>234</v>
      </c>
      <c r="C29" t="s">
        <v>373</v>
      </c>
      <c r="D29" s="126" t="s">
        <v>261</v>
      </c>
    </row>
    <row r="30" spans="1:8">
      <c r="A30" t="s">
        <v>260</v>
      </c>
      <c r="B30" t="s">
        <v>259</v>
      </c>
      <c r="C30" t="s">
        <v>373</v>
      </c>
      <c r="D30" s="126" t="s">
        <v>262</v>
      </c>
    </row>
    <row r="31" spans="1:8">
      <c r="A31" t="s">
        <v>331</v>
      </c>
      <c r="B31" t="s">
        <v>332</v>
      </c>
      <c r="C31" t="s">
        <v>373</v>
      </c>
      <c r="D31" s="125" t="s">
        <v>371</v>
      </c>
    </row>
    <row r="32" spans="1:8">
      <c r="A32" t="s">
        <v>263</v>
      </c>
      <c r="B32" t="s">
        <v>264</v>
      </c>
      <c r="C32" t="s">
        <v>373</v>
      </c>
      <c r="D32" s="126" t="s">
        <v>265</v>
      </c>
    </row>
    <row r="33" spans="4:4">
      <c r="D33" s="137"/>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12700</xdr:colOff>
                    <xdr:row>9</xdr:row>
                    <xdr:rowOff>12700</xdr:rowOff>
                  </from>
                  <to>
                    <xdr:col>1</xdr:col>
                    <xdr:colOff>0</xdr:colOff>
                    <xdr:row>10</xdr:row>
                    <xdr:rowOff>203200</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12700</xdr:colOff>
                    <xdr:row>9</xdr:row>
                    <xdr:rowOff>12700</xdr:rowOff>
                  </from>
                  <to>
                    <xdr:col>1</xdr:col>
                    <xdr:colOff>0</xdr:colOff>
                    <xdr:row>10</xdr:row>
                    <xdr:rowOff>393700</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9</xdr:col>
                    <xdr:colOff>12700</xdr:colOff>
                    <xdr:row>9</xdr:row>
                    <xdr:rowOff>12700</xdr:rowOff>
                  </from>
                  <to>
                    <xdr:col>9</xdr:col>
                    <xdr:colOff>1244600</xdr:colOff>
                    <xdr:row>11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Z161"/>
  <sheetViews>
    <sheetView zoomScale="50" zoomScaleNormal="50" workbookViewId="0">
      <pane ySplit="1" topLeftCell="A2" activePane="bottomLeft" state="frozen"/>
      <selection pane="bottomLeft" activeCell="I30" sqref="I30"/>
    </sheetView>
  </sheetViews>
  <sheetFormatPr baseColWidth="10" defaultColWidth="8.83203125" defaultRowHeight="16"/>
  <cols>
    <col min="1" max="3" width="8.83203125" style="190"/>
    <col min="4" max="4" width="8.83203125" style="291"/>
    <col min="5" max="5" width="8.83203125" style="190"/>
    <col min="6" max="6" width="12.5" style="190" bestFit="1" customWidth="1"/>
    <col min="7" max="7" width="12.5" style="190" customWidth="1"/>
    <col min="8" max="8" width="12.1640625" style="190" bestFit="1" customWidth="1"/>
    <col min="9" max="9" width="12.1640625" style="190" customWidth="1"/>
    <col min="10" max="10" width="10" style="190" bestFit="1" customWidth="1"/>
    <col min="11" max="11" width="11.6640625" style="190" bestFit="1" customWidth="1"/>
    <col min="12" max="20" width="8.83203125" style="190"/>
    <col min="21" max="21" width="8.83203125" style="190" customWidth="1"/>
    <col min="22" max="24" width="9.1640625" style="190" bestFit="1" customWidth="1"/>
    <col min="25" max="31" width="8.83203125" style="190"/>
    <col min="32" max="32" width="8.83203125" style="190" customWidth="1"/>
    <col min="33" max="34" width="9.1640625" style="190" customWidth="1"/>
    <col min="35" max="36" width="9.1640625" style="190" bestFit="1" customWidth="1"/>
    <col min="37" max="16384" width="8.83203125" style="190"/>
  </cols>
  <sheetData>
    <row r="1" spans="1:43" ht="16.25" customHeight="1" thickBot="1">
      <c r="A1" s="250" t="s">
        <v>420</v>
      </c>
      <c r="B1" s="251" t="s">
        <v>421</v>
      </c>
      <c r="C1" s="251" t="s">
        <v>422</v>
      </c>
      <c r="D1" s="251" t="s">
        <v>230</v>
      </c>
      <c r="E1" s="251" t="s">
        <v>1077</v>
      </c>
      <c r="F1" s="251" t="s">
        <v>1078</v>
      </c>
      <c r="G1" s="251" t="s">
        <v>1079</v>
      </c>
      <c r="H1" s="251" t="s">
        <v>1080</v>
      </c>
      <c r="I1" s="251" t="s">
        <v>1081</v>
      </c>
      <c r="J1" s="251" t="s">
        <v>1082</v>
      </c>
      <c r="K1" s="252" t="s">
        <v>1083</v>
      </c>
      <c r="N1" s="454" t="s">
        <v>1078</v>
      </c>
      <c r="O1" s="455"/>
      <c r="P1" s="455"/>
      <c r="Q1" s="455"/>
      <c r="R1" s="455"/>
      <c r="S1" s="455"/>
      <c r="T1" s="455"/>
      <c r="U1" s="455"/>
      <c r="V1" s="455"/>
      <c r="W1" s="455"/>
      <c r="X1" s="455"/>
      <c r="Z1" s="454" t="s">
        <v>1084</v>
      </c>
      <c r="AA1" s="455"/>
      <c r="AB1" s="455"/>
      <c r="AC1" s="455"/>
      <c r="AD1" s="455"/>
      <c r="AE1" s="455"/>
      <c r="AF1" s="455"/>
      <c r="AG1" s="455"/>
      <c r="AH1" s="455"/>
      <c r="AI1" s="455"/>
      <c r="AJ1" s="455"/>
    </row>
    <row r="2" spans="1:43" ht="17" thickBot="1">
      <c r="A2" s="253">
        <v>5</v>
      </c>
      <c r="B2" s="254">
        <v>0</v>
      </c>
      <c r="C2" s="254" t="s">
        <v>213</v>
      </c>
      <c r="D2" s="255">
        <v>6</v>
      </c>
      <c r="E2" s="256">
        <v>26139</v>
      </c>
      <c r="F2" s="257">
        <v>10153.329337045478</v>
      </c>
      <c r="G2" s="257">
        <v>359.68544795650104</v>
      </c>
      <c r="H2" s="257">
        <v>2637.1482585521735</v>
      </c>
      <c r="I2" s="257">
        <v>253.98466639705399</v>
      </c>
      <c r="J2" s="256">
        <v>-54.810457918254045</v>
      </c>
      <c r="K2" s="258">
        <v>-50.643082802559547</v>
      </c>
      <c r="L2" s="190">
        <v>0</v>
      </c>
      <c r="N2" s="259" t="s">
        <v>420</v>
      </c>
      <c r="O2" s="260" t="s">
        <v>421</v>
      </c>
      <c r="P2" s="260" t="s">
        <v>422</v>
      </c>
      <c r="Q2" s="261" t="s">
        <v>1085</v>
      </c>
      <c r="R2" s="261" t="s">
        <v>1086</v>
      </c>
      <c r="S2" s="261" t="s">
        <v>1087</v>
      </c>
      <c r="T2" s="261" t="s">
        <v>1088</v>
      </c>
      <c r="U2" s="260" t="s">
        <v>1089</v>
      </c>
      <c r="V2" s="260" t="s">
        <v>1090</v>
      </c>
      <c r="W2" s="260" t="s">
        <v>1091</v>
      </c>
      <c r="X2" s="260" t="s">
        <v>1092</v>
      </c>
      <c r="Z2" s="259" t="s">
        <v>420</v>
      </c>
      <c r="AA2" s="260" t="s">
        <v>421</v>
      </c>
      <c r="AB2" s="260" t="s">
        <v>422</v>
      </c>
      <c r="AC2" s="261">
        <v>6</v>
      </c>
      <c r="AD2" s="261">
        <v>12</v>
      </c>
      <c r="AE2" s="261">
        <v>48</v>
      </c>
      <c r="AF2" s="261">
        <v>96</v>
      </c>
      <c r="AG2" s="253" t="s">
        <v>1089</v>
      </c>
      <c r="AH2" s="254" t="s">
        <v>1090</v>
      </c>
      <c r="AI2" s="254" t="s">
        <v>1091</v>
      </c>
      <c r="AJ2" s="255" t="s">
        <v>1092</v>
      </c>
      <c r="AL2" s="190" t="s">
        <v>1093</v>
      </c>
    </row>
    <row r="3" spans="1:43">
      <c r="A3" s="259">
        <v>5</v>
      </c>
      <c r="B3" s="260">
        <v>1</v>
      </c>
      <c r="C3" s="260" t="s">
        <v>213</v>
      </c>
      <c r="D3" s="262">
        <v>6</v>
      </c>
      <c r="E3" s="263">
        <v>26929</v>
      </c>
      <c r="F3" s="264">
        <v>9935.1452060556294</v>
      </c>
      <c r="G3" s="264">
        <v>50.692234620582212</v>
      </c>
      <c r="H3" s="264">
        <v>2533.878732082736</v>
      </c>
      <c r="I3" s="264">
        <v>57.764229698994065</v>
      </c>
      <c r="J3" s="263">
        <v>-42.185258692319827</v>
      </c>
      <c r="K3" s="265">
        <v>-35.869128271642921</v>
      </c>
      <c r="L3" s="190">
        <v>0</v>
      </c>
      <c r="N3" s="253">
        <v>5</v>
      </c>
      <c r="O3" s="254">
        <v>0</v>
      </c>
      <c r="P3" s="255" t="s">
        <v>213</v>
      </c>
      <c r="Q3" s="256">
        <f>F2</f>
        <v>10153.329337045478</v>
      </c>
      <c r="R3" s="256">
        <f>F42</f>
        <v>30019.235401213056</v>
      </c>
      <c r="S3" s="256">
        <f>F82</f>
        <v>8108294.4670404131</v>
      </c>
      <c r="T3" s="256">
        <f>F122</f>
        <v>708842.53293674462</v>
      </c>
      <c r="Z3" s="253">
        <v>5</v>
      </c>
      <c r="AA3" s="254">
        <v>0</v>
      </c>
      <c r="AB3" s="255" t="s">
        <v>213</v>
      </c>
      <c r="AC3" s="256">
        <f>H2</f>
        <v>2637.1482585521735</v>
      </c>
      <c r="AD3" s="256">
        <f>H42</f>
        <v>4007.7378796144512</v>
      </c>
      <c r="AE3" s="256">
        <f>H82</f>
        <v>422272.92536276957</v>
      </c>
      <c r="AF3" s="256">
        <f>H122</f>
        <v>160561.09012144167</v>
      </c>
      <c r="AG3" s="266">
        <f>I2</f>
        <v>253.98466639705399</v>
      </c>
      <c r="AH3" s="267">
        <f>I42</f>
        <v>318.86354962063177</v>
      </c>
      <c r="AI3" s="267">
        <f>I82</f>
        <v>30261.157824464903</v>
      </c>
      <c r="AJ3" s="268">
        <f>I122</f>
        <v>1172672.9684347499</v>
      </c>
      <c r="AL3" s="269"/>
      <c r="AM3" s="256"/>
      <c r="AN3" s="449" t="s">
        <v>1094</v>
      </c>
      <c r="AO3" s="449"/>
      <c r="AP3" s="449"/>
      <c r="AQ3" s="450"/>
    </row>
    <row r="4" spans="1:43" ht="17" thickBot="1">
      <c r="A4" s="259">
        <v>5</v>
      </c>
      <c r="B4" s="260">
        <v>5</v>
      </c>
      <c r="C4" s="260" t="s">
        <v>213</v>
      </c>
      <c r="D4" s="262">
        <v>6</v>
      </c>
      <c r="E4" s="263">
        <v>22547</v>
      </c>
      <c r="F4" s="264">
        <v>10834.329493716268</v>
      </c>
      <c r="G4" s="264">
        <v>450.0237093865008</v>
      </c>
      <c r="H4" s="264">
        <v>2609.8471199283053</v>
      </c>
      <c r="I4" s="264">
        <v>72.397576584015226</v>
      </c>
      <c r="J4" s="263">
        <v>-38.902616574171091</v>
      </c>
      <c r="K4" s="265">
        <v>-32.404074853057175</v>
      </c>
      <c r="L4" s="190">
        <v>0</v>
      </c>
      <c r="N4" s="259"/>
      <c r="O4" s="260"/>
      <c r="P4" s="262" t="s">
        <v>214</v>
      </c>
      <c r="Q4" s="263">
        <f>F22</f>
        <v>10078.319163580389</v>
      </c>
      <c r="R4" s="263">
        <f>F62</f>
        <v>16714.002777462465</v>
      </c>
      <c r="S4" s="263">
        <f>F102</f>
        <v>145452.93419108135</v>
      </c>
      <c r="T4" s="263">
        <f>F142</f>
        <v>133271.6826967115</v>
      </c>
      <c r="Z4" s="259"/>
      <c r="AA4" s="260"/>
      <c r="AB4" s="262" t="s">
        <v>214</v>
      </c>
      <c r="AC4" s="263">
        <f>H22</f>
        <v>2667.0850506812085</v>
      </c>
      <c r="AD4" s="263">
        <f>H62</f>
        <v>2979.4677071750029</v>
      </c>
      <c r="AE4" s="263">
        <f>H102</f>
        <v>15083.747011058394</v>
      </c>
      <c r="AF4" s="263">
        <f>H142</f>
        <v>38131.280371647801</v>
      </c>
      <c r="AG4" s="270">
        <f>I22</f>
        <v>198.71004700387718</v>
      </c>
      <c r="AH4" s="271">
        <f>I62</f>
        <v>636.94664619791047</v>
      </c>
      <c r="AI4" s="271">
        <f>I102</f>
        <v>454.97927748741915</v>
      </c>
      <c r="AJ4" s="272">
        <f>I142</f>
        <v>9082.7539379201316</v>
      </c>
      <c r="AL4" s="273"/>
      <c r="AM4" s="263"/>
      <c r="AN4" s="263">
        <v>5</v>
      </c>
      <c r="AO4" s="263">
        <v>15</v>
      </c>
      <c r="AP4" s="263">
        <v>25</v>
      </c>
      <c r="AQ4" s="265">
        <v>35</v>
      </c>
    </row>
    <row r="5" spans="1:43">
      <c r="A5" s="259">
        <v>5</v>
      </c>
      <c r="B5" s="260">
        <v>10</v>
      </c>
      <c r="C5" s="260" t="s">
        <v>213</v>
      </c>
      <c r="D5" s="262">
        <v>6</v>
      </c>
      <c r="E5" s="263">
        <v>17589</v>
      </c>
      <c r="F5" s="264">
        <v>10886.65533347734</v>
      </c>
      <c r="G5" s="264">
        <v>377.9450886212507</v>
      </c>
      <c r="H5" s="264">
        <v>2605.593611171942</v>
      </c>
      <c r="I5" s="264">
        <v>46.561923077580708</v>
      </c>
      <c r="J5" s="263">
        <v>-35.920137975916141</v>
      </c>
      <c r="K5" s="265">
        <v>-36.585320411071798</v>
      </c>
      <c r="L5" s="190">
        <v>0</v>
      </c>
      <c r="N5" s="259"/>
      <c r="O5" s="260">
        <v>1</v>
      </c>
      <c r="P5" s="262" t="s">
        <v>213</v>
      </c>
      <c r="Q5" s="263">
        <f>F3</f>
        <v>9935.1452060556294</v>
      </c>
      <c r="R5" s="263">
        <f>F43</f>
        <v>35961.519373155956</v>
      </c>
      <c r="S5" s="263">
        <f>F83</f>
        <v>9301878.7180117443</v>
      </c>
      <c r="T5" s="263">
        <f>F123</f>
        <v>6970708.905456353</v>
      </c>
      <c r="Z5" s="259"/>
      <c r="AA5" s="260">
        <v>1</v>
      </c>
      <c r="AB5" s="262" t="s">
        <v>213</v>
      </c>
      <c r="AC5" s="263">
        <f>H3</f>
        <v>2533.878732082736</v>
      </c>
      <c r="AD5" s="263">
        <f>H43</f>
        <v>3707.8431001409663</v>
      </c>
      <c r="AE5" s="263">
        <f>H83</f>
        <v>237973.87853696672</v>
      </c>
      <c r="AF5" s="263">
        <f>H123</f>
        <v>353989.34922113345</v>
      </c>
      <c r="AG5" s="273">
        <f>I3</f>
        <v>57.764229698994065</v>
      </c>
      <c r="AH5" s="263">
        <f>I43</f>
        <v>68.463874816728776</v>
      </c>
      <c r="AI5" s="263">
        <f>I83</f>
        <v>48901.66172672325</v>
      </c>
      <c r="AJ5" s="265">
        <f>I123</f>
        <v>69837.755816481338</v>
      </c>
      <c r="AL5" s="451" t="s">
        <v>1095</v>
      </c>
      <c r="AM5" s="258">
        <v>0</v>
      </c>
      <c r="AN5" s="269">
        <f>AF3/AF4</f>
        <v>4.2107447889640115</v>
      </c>
      <c r="AO5" s="256">
        <f>AF13/AF14</f>
        <v>8.2045938567499448</v>
      </c>
      <c r="AP5" s="256">
        <f>AF23/AF24</f>
        <v>5.2377556765966471</v>
      </c>
      <c r="AQ5" s="258">
        <f>AF33/AF34</f>
        <v>2.3506547167743306</v>
      </c>
    </row>
    <row r="6" spans="1:43">
      <c r="A6" s="259">
        <v>5</v>
      </c>
      <c r="B6" s="260">
        <v>20</v>
      </c>
      <c r="C6" s="260" t="s">
        <v>213</v>
      </c>
      <c r="D6" s="262">
        <v>6</v>
      </c>
      <c r="E6" s="263">
        <v>15890</v>
      </c>
      <c r="F6" s="264">
        <v>11630.001282389552</v>
      </c>
      <c r="G6" s="264">
        <v>312.84577901858108</v>
      </c>
      <c r="H6" s="264">
        <v>2635.4773295005434</v>
      </c>
      <c r="I6" s="264">
        <v>118.13171571536297</v>
      </c>
      <c r="J6" s="263">
        <v>-25.064654513925873</v>
      </c>
      <c r="K6" s="265">
        <v>-54.896165611571924</v>
      </c>
      <c r="L6" s="190">
        <v>0</v>
      </c>
      <c r="N6" s="259"/>
      <c r="O6" s="260"/>
      <c r="P6" s="262" t="s">
        <v>214</v>
      </c>
      <c r="Q6" s="263">
        <f>F23</f>
        <v>9627.1065634831248</v>
      </c>
      <c r="R6" s="263">
        <f>F63</f>
        <v>13505.49391819182</v>
      </c>
      <c r="S6" s="263">
        <f>F103</f>
        <v>156786.99844672901</v>
      </c>
      <c r="T6" s="263">
        <f>F143</f>
        <v>96793.644199330796</v>
      </c>
      <c r="Z6" s="259"/>
      <c r="AA6" s="260"/>
      <c r="AB6" s="262" t="s">
        <v>214</v>
      </c>
      <c r="AC6" s="263">
        <f>H23</f>
        <v>2695.5103978233055</v>
      </c>
      <c r="AD6" s="263">
        <f>H63</f>
        <v>2676.5371999016488</v>
      </c>
      <c r="AE6" s="263">
        <f>H103</f>
        <v>5540.5211022648273</v>
      </c>
      <c r="AF6" s="263">
        <f>H143</f>
        <v>6861.1970966903282</v>
      </c>
      <c r="AG6" s="273">
        <f>I23</f>
        <v>110.25459594001552</v>
      </c>
      <c r="AH6" s="263">
        <f>I63</f>
        <v>110.47864143416952</v>
      </c>
      <c r="AI6" s="263">
        <f>I103</f>
        <v>173.55845904784184</v>
      </c>
      <c r="AJ6" s="265">
        <f>I143</f>
        <v>2498.494916512876</v>
      </c>
      <c r="AL6" s="452"/>
      <c r="AM6" s="265">
        <v>1</v>
      </c>
      <c r="AN6" s="273">
        <f>AF5/AF6</f>
        <v>51.592942781353585</v>
      </c>
      <c r="AO6" s="263">
        <f>AF15/AF16</f>
        <v>59.562751912730604</v>
      </c>
      <c r="AP6" s="263">
        <f>AF25/AF26</f>
        <v>64.048578309190631</v>
      </c>
      <c r="AQ6" s="265">
        <f>AF35/AF36</f>
        <v>47.058562387744892</v>
      </c>
    </row>
    <row r="7" spans="1:43">
      <c r="A7" s="259">
        <v>15</v>
      </c>
      <c r="B7" s="260">
        <v>0</v>
      </c>
      <c r="C7" s="260" t="s">
        <v>213</v>
      </c>
      <c r="D7" s="262">
        <v>6</v>
      </c>
      <c r="E7" s="263">
        <v>16657</v>
      </c>
      <c r="F7" s="264">
        <v>11408.629308961816</v>
      </c>
      <c r="G7" s="264">
        <v>478.84862480637111</v>
      </c>
      <c r="H7" s="264">
        <v>2763.6625066566685</v>
      </c>
      <c r="I7" s="264">
        <v>92.666846536160065</v>
      </c>
      <c r="J7" s="263">
        <v>-30.045346860494121</v>
      </c>
      <c r="K7" s="265">
        <v>-41.822051817458046</v>
      </c>
      <c r="L7" s="190">
        <v>0</v>
      </c>
      <c r="N7" s="259"/>
      <c r="O7" s="260">
        <v>5</v>
      </c>
      <c r="P7" s="262" t="s">
        <v>213</v>
      </c>
      <c r="Q7" s="263">
        <f>F4</f>
        <v>10834.329493716268</v>
      </c>
      <c r="R7" s="263">
        <f>F44</f>
        <v>41151.218256236723</v>
      </c>
      <c r="S7" s="263">
        <f>F84</f>
        <v>11377554.07719066</v>
      </c>
      <c r="T7" s="263">
        <f>F124</f>
        <v>9363639.7505510692</v>
      </c>
      <c r="Z7" s="259"/>
      <c r="AA7" s="260">
        <v>5</v>
      </c>
      <c r="AB7" s="262" t="s">
        <v>213</v>
      </c>
      <c r="AC7" s="263">
        <f>H4</f>
        <v>2609.8471199283053</v>
      </c>
      <c r="AD7" s="263">
        <f>H44</f>
        <v>3123.1400914313872</v>
      </c>
      <c r="AE7" s="263">
        <f>H84</f>
        <v>74280.147664009943</v>
      </c>
      <c r="AF7" s="263">
        <f>H124</f>
        <v>100710.98607819123</v>
      </c>
      <c r="AG7" s="273">
        <f>I4</f>
        <v>72.397576584015226</v>
      </c>
      <c r="AH7" s="263">
        <f>I44</f>
        <v>85.445484875497371</v>
      </c>
      <c r="AI7" s="263">
        <f>I84</f>
        <v>7706.8519574368911</v>
      </c>
      <c r="AJ7" s="265">
        <f>I124</f>
        <v>15989.61574830692</v>
      </c>
      <c r="AL7" s="452"/>
      <c r="AM7" s="265">
        <v>5</v>
      </c>
      <c r="AN7" s="273">
        <f>AF7/AF8</f>
        <v>13.383207508700893</v>
      </c>
      <c r="AO7" s="263">
        <f>AF17/AF18</f>
        <v>46.451831777091719</v>
      </c>
      <c r="AP7" s="263">
        <f>AF27/AF28</f>
        <v>77.289229318356533</v>
      </c>
      <c r="AQ7" s="265">
        <f>AF37/AF38</f>
        <v>105.43840949435095</v>
      </c>
    </row>
    <row r="8" spans="1:43">
      <c r="A8" s="259">
        <v>15</v>
      </c>
      <c r="B8" s="260">
        <v>1</v>
      </c>
      <c r="C8" s="260" t="s">
        <v>213</v>
      </c>
      <c r="D8" s="262">
        <v>6</v>
      </c>
      <c r="E8" s="263">
        <v>10984</v>
      </c>
      <c r="F8" s="264">
        <v>11740.484500792492</v>
      </c>
      <c r="G8" s="264">
        <v>1372.8215116153528</v>
      </c>
      <c r="H8" s="264">
        <v>2788.1610225168197</v>
      </c>
      <c r="I8" s="264">
        <v>109.27548437749772</v>
      </c>
      <c r="J8" s="263">
        <v>-28.062180543541828</v>
      </c>
      <c r="K8" s="265">
        <v>-38.946544989415223</v>
      </c>
      <c r="L8" s="190">
        <v>0</v>
      </c>
      <c r="N8" s="259"/>
      <c r="O8" s="260"/>
      <c r="P8" s="262" t="s">
        <v>214</v>
      </c>
      <c r="Q8" s="263">
        <f>F24</f>
        <v>10340.985326809838</v>
      </c>
      <c r="R8" s="263">
        <f>F64</f>
        <v>13757.986257053146</v>
      </c>
      <c r="S8" s="263">
        <f>F104</f>
        <v>144313.65027861332</v>
      </c>
      <c r="T8" s="263">
        <f>F144</f>
        <v>141070.50039984012</v>
      </c>
      <c r="Z8" s="259"/>
      <c r="AA8" s="260"/>
      <c r="AB8" s="262" t="s">
        <v>214</v>
      </c>
      <c r="AC8" s="263">
        <f>H24</f>
        <v>2862.3975814993669</v>
      </c>
      <c r="AD8" s="263">
        <f>H64</f>
        <v>2600.7184545708533</v>
      </c>
      <c r="AE8" s="263">
        <f>H104</f>
        <v>5210.7228919400559</v>
      </c>
      <c r="AF8" s="263">
        <f>H144</f>
        <v>7525.175561442612</v>
      </c>
      <c r="AG8" s="273">
        <f>I24</f>
        <v>17.81631298105593</v>
      </c>
      <c r="AH8" s="263">
        <f>I64</f>
        <v>18.898002846631421</v>
      </c>
      <c r="AI8" s="263">
        <f>I104</f>
        <v>84.575753085745134</v>
      </c>
      <c r="AJ8" s="265">
        <f>I144</f>
        <v>208.36509626031688</v>
      </c>
      <c r="AL8" s="452"/>
      <c r="AM8" s="265">
        <v>10</v>
      </c>
      <c r="AN8" s="273">
        <f>AF9/AF10</f>
        <v>7.8735205203485288</v>
      </c>
      <c r="AO8" s="263">
        <f>AF19/AF20</f>
        <v>23.338069239898253</v>
      </c>
      <c r="AP8" s="263">
        <f>AF29/AF30</f>
        <v>54.348662997774198</v>
      </c>
      <c r="AQ8" s="265">
        <f>AF39/AF40</f>
        <v>80.248525366483747</v>
      </c>
    </row>
    <row r="9" spans="1:43" ht="17" thickBot="1">
      <c r="A9" s="259">
        <v>15</v>
      </c>
      <c r="B9" s="260">
        <v>5</v>
      </c>
      <c r="C9" s="260" t="s">
        <v>213</v>
      </c>
      <c r="D9" s="262">
        <v>6</v>
      </c>
      <c r="E9" s="263">
        <v>15475</v>
      </c>
      <c r="F9" s="264">
        <v>12282.512251932189</v>
      </c>
      <c r="G9" s="264">
        <v>368.64008450560851</v>
      </c>
      <c r="H9" s="264">
        <v>2835.7558105785802</v>
      </c>
      <c r="I9" s="264">
        <v>154.53344591407458</v>
      </c>
      <c r="J9" s="263">
        <v>-25.530409454228334</v>
      </c>
      <c r="K9" s="265">
        <v>-36.825507884241802</v>
      </c>
      <c r="L9" s="190">
        <v>0</v>
      </c>
      <c r="N9" s="259"/>
      <c r="O9" s="260">
        <v>10</v>
      </c>
      <c r="P9" s="262" t="s">
        <v>213</v>
      </c>
      <c r="Q9" s="263">
        <f>F5</f>
        <v>10886.65533347734</v>
      </c>
      <c r="R9" s="263">
        <f>F45</f>
        <v>48411.355129365642</v>
      </c>
      <c r="S9" s="263">
        <f>F85</f>
        <v>11422813.649506981</v>
      </c>
      <c r="T9" s="263">
        <f>F125</f>
        <v>9063314.298131723</v>
      </c>
      <c r="Z9" s="259"/>
      <c r="AA9" s="260">
        <v>10</v>
      </c>
      <c r="AB9" s="262" t="s">
        <v>213</v>
      </c>
      <c r="AC9" s="263">
        <f>H5</f>
        <v>2605.593611171942</v>
      </c>
      <c r="AD9" s="263">
        <f>H45</f>
        <v>3024.3078192711955</v>
      </c>
      <c r="AE9" s="263">
        <f>H85</f>
        <v>41470.218220971634</v>
      </c>
      <c r="AF9" s="263">
        <f>H125</f>
        <v>54204.664610153282</v>
      </c>
      <c r="AG9" s="273">
        <f>I5</f>
        <v>46.561923077580708</v>
      </c>
      <c r="AH9" s="263">
        <f>I45</f>
        <v>35.151124009497288</v>
      </c>
      <c r="AI9" s="263">
        <f>I85</f>
        <v>2898.7780550663242</v>
      </c>
      <c r="AJ9" s="265">
        <f>I125</f>
        <v>1532.5040191262137</v>
      </c>
      <c r="AL9" s="453"/>
      <c r="AM9" s="274">
        <v>20</v>
      </c>
      <c r="AN9" s="275">
        <f>AF11/AF12</f>
        <v>5.0706816515468258</v>
      </c>
      <c r="AO9" s="276">
        <f>AF21/AF22</f>
        <v>13.931719928427468</v>
      </c>
      <c r="AP9" s="276">
        <f>AF31/AF32</f>
        <v>38.017370016112608</v>
      </c>
      <c r="AQ9" s="274">
        <f>AF41/AF42</f>
        <v>38.932087733613542</v>
      </c>
    </row>
    <row r="10" spans="1:43">
      <c r="A10" s="259">
        <v>15</v>
      </c>
      <c r="B10" s="260">
        <v>10</v>
      </c>
      <c r="C10" s="260" t="s">
        <v>213</v>
      </c>
      <c r="D10" s="262">
        <v>6</v>
      </c>
      <c r="E10" s="263">
        <v>27666</v>
      </c>
      <c r="F10" s="264">
        <v>10305.233558971982</v>
      </c>
      <c r="G10" s="264">
        <v>415.89809106047568</v>
      </c>
      <c r="H10" s="264">
        <v>2556.432920446854</v>
      </c>
      <c r="I10" s="264">
        <v>40.152993901827948</v>
      </c>
      <c r="J10" s="263">
        <v>-44.037270155516239</v>
      </c>
      <c r="K10" s="265">
        <v>-41.246872290809463</v>
      </c>
      <c r="L10" s="190">
        <v>0</v>
      </c>
      <c r="N10" s="259"/>
      <c r="O10" s="260"/>
      <c r="P10" s="262" t="s">
        <v>214</v>
      </c>
      <c r="Q10" s="263">
        <f>F25</f>
        <v>10191.611854020917</v>
      </c>
      <c r="R10" s="263">
        <f>F65</f>
        <v>14567.87435495311</v>
      </c>
      <c r="S10" s="263">
        <f>F105</f>
        <v>156656.68826002252</v>
      </c>
      <c r="T10" s="263">
        <f>F145</f>
        <v>137725.7562502136</v>
      </c>
      <c r="Z10" s="259"/>
      <c r="AA10" s="260"/>
      <c r="AB10" s="262" t="s">
        <v>214</v>
      </c>
      <c r="AC10" s="263">
        <f>H25</f>
        <v>2758.1956745871685</v>
      </c>
      <c r="AD10" s="263">
        <f>H65</f>
        <v>2671.9660989992763</v>
      </c>
      <c r="AE10" s="263">
        <f>H105</f>
        <v>4792.824396990869</v>
      </c>
      <c r="AF10" s="263">
        <f>H145</f>
        <v>6884.4253939600912</v>
      </c>
      <c r="AG10" s="273">
        <f>I25</f>
        <v>23.442787144062248</v>
      </c>
      <c r="AH10" s="263">
        <f>I65</f>
        <v>38.648033647569839</v>
      </c>
      <c r="AI10" s="263">
        <f>I105</f>
        <v>82.458532954490366</v>
      </c>
      <c r="AJ10" s="265">
        <f>I145</f>
        <v>120.67659891154085</v>
      </c>
    </row>
    <row r="11" spans="1:43" ht="17" thickBot="1">
      <c r="A11" s="259">
        <v>15</v>
      </c>
      <c r="B11" s="260">
        <v>20</v>
      </c>
      <c r="C11" s="260" t="s">
        <v>213</v>
      </c>
      <c r="D11" s="262">
        <v>6</v>
      </c>
      <c r="E11" s="263">
        <v>25269</v>
      </c>
      <c r="F11" s="264">
        <v>10649.096162803133</v>
      </c>
      <c r="G11" s="264">
        <v>389.73612624635985</v>
      </c>
      <c r="H11" s="264">
        <v>2652.3754886403794</v>
      </c>
      <c r="I11" s="264">
        <v>121.91508811832792</v>
      </c>
      <c r="J11" s="263">
        <v>-35.964789306943871</v>
      </c>
      <c r="K11" s="265">
        <v>-47.212792411176792</v>
      </c>
      <c r="L11" s="190">
        <v>0</v>
      </c>
      <c r="N11" s="259"/>
      <c r="O11" s="260">
        <v>20</v>
      </c>
      <c r="P11" s="262" t="s">
        <v>213</v>
      </c>
      <c r="Q11" s="263">
        <f>F6</f>
        <v>11630.001282389552</v>
      </c>
      <c r="R11" s="263">
        <f>F46</f>
        <v>51867.349624443057</v>
      </c>
      <c r="S11" s="263">
        <f>F86</f>
        <v>1030891.7865801859</v>
      </c>
      <c r="T11" s="263">
        <f>F126</f>
        <v>9399478.1621825565</v>
      </c>
      <c r="Z11" s="259"/>
      <c r="AA11" s="260">
        <v>20</v>
      </c>
      <c r="AB11" s="262" t="s">
        <v>213</v>
      </c>
      <c r="AC11" s="263">
        <f>H6</f>
        <v>2635.4773295005434</v>
      </c>
      <c r="AD11" s="263">
        <f>H46</f>
        <v>3291.6653022892547</v>
      </c>
      <c r="AE11" s="263">
        <f>H86</f>
        <v>12106.968945580662</v>
      </c>
      <c r="AF11" s="263">
        <f>H126</f>
        <v>31516.916297017942</v>
      </c>
      <c r="AG11" s="273">
        <f>I6</f>
        <v>118.13171571536297</v>
      </c>
      <c r="AH11" s="263">
        <f>I46</f>
        <v>551.79543323286032</v>
      </c>
      <c r="AI11" s="263">
        <f>I86</f>
        <v>34555.417193772002</v>
      </c>
      <c r="AJ11" s="265">
        <f>I126</f>
        <v>1744.4648974524591</v>
      </c>
      <c r="AL11" s="190" t="s">
        <v>1096</v>
      </c>
    </row>
    <row r="12" spans="1:43" ht="17" thickBot="1">
      <c r="A12" s="259">
        <v>25</v>
      </c>
      <c r="B12" s="260">
        <v>0</v>
      </c>
      <c r="C12" s="260" t="s">
        <v>213</v>
      </c>
      <c r="D12" s="262">
        <v>6</v>
      </c>
      <c r="E12" s="263">
        <v>15426</v>
      </c>
      <c r="F12" s="264">
        <v>11286.527243465422</v>
      </c>
      <c r="G12" s="264">
        <v>1170.8401098886166</v>
      </c>
      <c r="H12" s="264">
        <v>2797.8507089688792</v>
      </c>
      <c r="I12" s="264">
        <v>54.403358134499349</v>
      </c>
      <c r="J12" s="263">
        <v>-31.118015560968281</v>
      </c>
      <c r="K12" s="265">
        <v>-38.679363879218528</v>
      </c>
      <c r="L12" s="190">
        <v>0</v>
      </c>
      <c r="N12" s="277"/>
      <c r="O12" s="261"/>
      <c r="P12" s="278" t="s">
        <v>214</v>
      </c>
      <c r="Q12" s="276">
        <f>F26</f>
        <v>9232.0229866205482</v>
      </c>
      <c r="R12" s="276">
        <f>F66</f>
        <v>11975.16300028253</v>
      </c>
      <c r="S12" s="276">
        <f>F106</f>
        <v>143901.52277290617</v>
      </c>
      <c r="T12" s="276">
        <f>F146</f>
        <v>111522.07076578417</v>
      </c>
      <c r="Z12" s="277"/>
      <c r="AA12" s="261"/>
      <c r="AB12" s="278" t="s">
        <v>214</v>
      </c>
      <c r="AC12" s="276">
        <f>H26</f>
        <v>2617.3587103535137</v>
      </c>
      <c r="AD12" s="276">
        <f>H66</f>
        <v>2548.2700035369016</v>
      </c>
      <c r="AE12" s="276">
        <f>H106</f>
        <v>4534.6577472824292</v>
      </c>
      <c r="AF12" s="276">
        <f>H146</f>
        <v>6215.5186349361175</v>
      </c>
      <c r="AG12" s="275">
        <f>I26</f>
        <v>65.199441469111719</v>
      </c>
      <c r="AH12" s="276">
        <f>I66</f>
        <v>38.372874556479218</v>
      </c>
      <c r="AI12" s="276">
        <f>I106</f>
        <v>221.87949738274966</v>
      </c>
      <c r="AJ12" s="274">
        <f>I146</f>
        <v>360.84755228017519</v>
      </c>
      <c r="AL12" s="269"/>
      <c r="AM12" s="256"/>
      <c r="AN12" s="449" t="s">
        <v>1094</v>
      </c>
      <c r="AO12" s="449"/>
      <c r="AP12" s="449"/>
      <c r="AQ12" s="450"/>
    </row>
    <row r="13" spans="1:43" ht="17" thickBot="1">
      <c r="A13" s="259">
        <v>25</v>
      </c>
      <c r="B13" s="260">
        <v>1</v>
      </c>
      <c r="C13" s="260" t="s">
        <v>213</v>
      </c>
      <c r="D13" s="262">
        <v>6</v>
      </c>
      <c r="E13" s="263">
        <v>15224</v>
      </c>
      <c r="F13" s="264">
        <v>11309.329362577715</v>
      </c>
      <c r="G13" s="264">
        <v>400.3495267889765</v>
      </c>
      <c r="H13" s="264">
        <v>2634.0302254482708</v>
      </c>
      <c r="I13" s="264">
        <v>28.09003135612107</v>
      </c>
      <c r="J13" s="263">
        <v>-32.908388649349511</v>
      </c>
      <c r="K13" s="265">
        <v>-37.559799016386606</v>
      </c>
      <c r="L13" s="190">
        <v>0</v>
      </c>
      <c r="N13" s="253">
        <v>15</v>
      </c>
      <c r="O13" s="254">
        <v>0</v>
      </c>
      <c r="P13" s="255" t="s">
        <v>213</v>
      </c>
      <c r="Q13" s="256">
        <f>F7</f>
        <v>11408.629308961816</v>
      </c>
      <c r="R13" s="256">
        <f>F47</f>
        <v>58197.124959089648</v>
      </c>
      <c r="S13" s="256">
        <f>F87</f>
        <v>10134156.689328436</v>
      </c>
      <c r="T13" s="256">
        <f>F127</f>
        <v>5518728.3843083112</v>
      </c>
      <c r="Z13" s="253">
        <v>15</v>
      </c>
      <c r="AA13" s="254">
        <v>0</v>
      </c>
      <c r="AB13" s="255" t="s">
        <v>213</v>
      </c>
      <c r="AC13" s="256">
        <f>H7</f>
        <v>2763.6625066566685</v>
      </c>
      <c r="AD13" s="256">
        <f>H47</f>
        <v>6209.2766326425117</v>
      </c>
      <c r="AE13" s="256">
        <f>H87</f>
        <v>797520.94247658201</v>
      </c>
      <c r="AF13" s="256">
        <f>H127</f>
        <v>771455.11447904306</v>
      </c>
      <c r="AG13" s="269">
        <f>I7</f>
        <v>92.666846536160065</v>
      </c>
      <c r="AH13" s="256">
        <f>I47</f>
        <v>107.42266183141372</v>
      </c>
      <c r="AI13" s="256">
        <f>I87</f>
        <v>223875.52662073565</v>
      </c>
      <c r="AJ13" s="258">
        <f>I127</f>
        <v>71309.697315083002</v>
      </c>
      <c r="AL13" s="273"/>
      <c r="AM13" s="263"/>
      <c r="AN13" s="263">
        <v>5</v>
      </c>
      <c r="AO13" s="263">
        <v>15</v>
      </c>
      <c r="AP13" s="263">
        <v>25</v>
      </c>
      <c r="AQ13" s="265">
        <v>35</v>
      </c>
    </row>
    <row r="14" spans="1:43">
      <c r="A14" s="259">
        <v>25</v>
      </c>
      <c r="B14" s="260">
        <v>5</v>
      </c>
      <c r="C14" s="260" t="s">
        <v>213</v>
      </c>
      <c r="D14" s="262">
        <v>6</v>
      </c>
      <c r="E14" s="263">
        <v>13828</v>
      </c>
      <c r="F14" s="264">
        <v>11467.394775184814</v>
      </c>
      <c r="G14" s="264">
        <v>155.25585604328629</v>
      </c>
      <c r="H14" s="264">
        <v>2704.3183317640651</v>
      </c>
      <c r="I14" s="264">
        <v>67.609330928553987</v>
      </c>
      <c r="J14" s="263">
        <v>-25.893338185952821</v>
      </c>
      <c r="K14" s="265">
        <v>-33.257164113452689</v>
      </c>
      <c r="L14" s="190">
        <v>0</v>
      </c>
      <c r="N14" s="259"/>
      <c r="O14" s="260"/>
      <c r="P14" s="262" t="s">
        <v>214</v>
      </c>
      <c r="Q14" s="263">
        <f>F27</f>
        <v>10017.134806413471</v>
      </c>
      <c r="R14" s="263">
        <f>F67</f>
        <v>11959.550473585685</v>
      </c>
      <c r="S14" s="263">
        <f>F107</f>
        <v>135700.0963824467</v>
      </c>
      <c r="T14" s="263">
        <f>F147</f>
        <v>110970.03451090111</v>
      </c>
      <c r="Z14" s="259"/>
      <c r="AA14" s="260"/>
      <c r="AB14" s="262" t="s">
        <v>214</v>
      </c>
      <c r="AC14" s="263">
        <f>H27</f>
        <v>2678.1116140890949</v>
      </c>
      <c r="AD14" s="263">
        <f>H67</f>
        <v>2657.2721273836701</v>
      </c>
      <c r="AE14" s="263">
        <f>H107</f>
        <v>50231.272140104586</v>
      </c>
      <c r="AF14" s="263">
        <f>H147</f>
        <v>94027.215478114682</v>
      </c>
      <c r="AG14" s="273">
        <f>I27</f>
        <v>94.63468148853292</v>
      </c>
      <c r="AH14" s="263">
        <f>I67</f>
        <v>87.580479048794103</v>
      </c>
      <c r="AI14" s="263">
        <f>I107</f>
        <v>5142.5105483045545</v>
      </c>
      <c r="AJ14" s="265">
        <f>I147</f>
        <v>9587.2474564463191</v>
      </c>
      <c r="AL14" s="451" t="s">
        <v>1095</v>
      </c>
      <c r="AM14" s="258">
        <v>0</v>
      </c>
      <c r="AN14" s="269">
        <f>AF4/AC4</f>
        <v>14.296987027807221</v>
      </c>
      <c r="AO14" s="256">
        <f>AF14/AC14</f>
        <v>35.10952082185571</v>
      </c>
      <c r="AP14" s="256">
        <f>AF24/AC24</f>
        <v>78.263909270182793</v>
      </c>
      <c r="AQ14" s="258">
        <f>AF34/AC34</f>
        <v>118.68315628630847</v>
      </c>
    </row>
    <row r="15" spans="1:43">
      <c r="A15" s="259">
        <v>25</v>
      </c>
      <c r="B15" s="260">
        <v>10</v>
      </c>
      <c r="C15" s="260" t="s">
        <v>213</v>
      </c>
      <c r="D15" s="262">
        <v>6</v>
      </c>
      <c r="E15" s="263">
        <v>12636</v>
      </c>
      <c r="F15" s="264">
        <v>11596.456968181206</v>
      </c>
      <c r="G15" s="264">
        <v>505.68409609155776</v>
      </c>
      <c r="H15" s="264">
        <v>2733.5964527858973</v>
      </c>
      <c r="I15" s="264">
        <v>34.664542595647596</v>
      </c>
      <c r="J15" s="263">
        <v>-25.113029880809613</v>
      </c>
      <c r="K15" s="265">
        <v>-31.926897108344519</v>
      </c>
      <c r="L15" s="190">
        <v>0</v>
      </c>
      <c r="N15" s="259"/>
      <c r="O15" s="260">
        <v>1</v>
      </c>
      <c r="P15" s="262" t="s">
        <v>213</v>
      </c>
      <c r="Q15" s="263">
        <f>F8</f>
        <v>11740.484500792492</v>
      </c>
      <c r="R15" s="263">
        <f>F48</f>
        <v>63975.157743321834</v>
      </c>
      <c r="S15" s="263">
        <f>F88</f>
        <v>11973160.691673271</v>
      </c>
      <c r="T15" s="263">
        <f>F128</f>
        <v>5058142.0944807613</v>
      </c>
      <c r="Z15" s="259"/>
      <c r="AA15" s="260">
        <v>1</v>
      </c>
      <c r="AB15" s="262" t="s">
        <v>213</v>
      </c>
      <c r="AC15" s="263">
        <f>H8</f>
        <v>2788.1610225168197</v>
      </c>
      <c r="AD15" s="263">
        <f>H48</f>
        <v>6137.7364583638873</v>
      </c>
      <c r="AE15" s="263">
        <f>H88</f>
        <v>706718.73209473654</v>
      </c>
      <c r="AF15" s="263">
        <f>H128</f>
        <v>589577.51134370978</v>
      </c>
      <c r="AG15" s="273">
        <f>I8</f>
        <v>109.27548437749772</v>
      </c>
      <c r="AH15" s="263">
        <f>I48</f>
        <v>233.0575908865514</v>
      </c>
      <c r="AI15" s="263">
        <f>I88</f>
        <v>93618.047635424431</v>
      </c>
      <c r="AJ15" s="265">
        <f>I128</f>
        <v>252038.8235017719</v>
      </c>
      <c r="AL15" s="452"/>
      <c r="AM15" s="265">
        <v>1</v>
      </c>
      <c r="AN15" s="273">
        <f>AF6/AC6</f>
        <v>2.5454166684836097</v>
      </c>
      <c r="AO15" s="263">
        <f>AF16/AC16</f>
        <v>3.7088888489074745</v>
      </c>
      <c r="AP15" s="263">
        <f>AF26/AC26</f>
        <v>4.9295550725240274</v>
      </c>
      <c r="AQ15" s="265">
        <f>AF36/AC36</f>
        <v>5.0275651617809913</v>
      </c>
    </row>
    <row r="16" spans="1:43">
      <c r="A16" s="259">
        <v>25</v>
      </c>
      <c r="B16" s="260">
        <v>20</v>
      </c>
      <c r="C16" s="260" t="s">
        <v>213</v>
      </c>
      <c r="D16" s="262">
        <v>6</v>
      </c>
      <c r="E16" s="263">
        <v>12104</v>
      </c>
      <c r="F16" s="264">
        <v>12576.135858266594</v>
      </c>
      <c r="G16" s="264">
        <v>1263.1371228524599</v>
      </c>
      <c r="H16" s="264">
        <v>2816.0648463304701</v>
      </c>
      <c r="I16" s="264">
        <v>256.53045194680209</v>
      </c>
      <c r="J16" s="263">
        <v>-23.276808467447431</v>
      </c>
      <c r="K16" s="265">
        <v>-31.346290979149888</v>
      </c>
      <c r="L16" s="190">
        <v>0</v>
      </c>
      <c r="N16" s="259"/>
      <c r="O16" s="260"/>
      <c r="P16" s="262" t="s">
        <v>214</v>
      </c>
      <c r="Q16" s="263">
        <f>F28</f>
        <v>9966.6403121692783</v>
      </c>
      <c r="R16" s="263">
        <f>F68</f>
        <v>13023.139068414926</v>
      </c>
      <c r="S16" s="263">
        <f>F108</f>
        <v>150026.08432635927</v>
      </c>
      <c r="T16" s="263">
        <f>F148</f>
        <v>135999.65009462266</v>
      </c>
      <c r="Z16" s="259"/>
      <c r="AA16" s="260"/>
      <c r="AB16" s="262" t="s">
        <v>214</v>
      </c>
      <c r="AC16" s="263">
        <f>H28</f>
        <v>2668.8387614839039</v>
      </c>
      <c r="AD16" s="263">
        <f>H68</f>
        <v>2558.2834683652336</v>
      </c>
      <c r="AE16" s="263">
        <f>H108</f>
        <v>6620.2792413103953</v>
      </c>
      <c r="AF16" s="263">
        <f>H148</f>
        <v>9898.4263219996865</v>
      </c>
      <c r="AG16" s="273">
        <f>I28</f>
        <v>33.884488028212481</v>
      </c>
      <c r="AH16" s="263">
        <f>I68</f>
        <v>46.863026610332788</v>
      </c>
      <c r="AI16" s="263">
        <f>I108</f>
        <v>201.52702668837793</v>
      </c>
      <c r="AJ16" s="265">
        <f>I148</f>
        <v>937.17553709336994</v>
      </c>
      <c r="AL16" s="452"/>
      <c r="AM16" s="265">
        <v>5</v>
      </c>
      <c r="AN16" s="273">
        <f>AF8/AC8</f>
        <v>2.6289763553743684</v>
      </c>
      <c r="AO16" s="263">
        <f>AF18/AC18</f>
        <v>2.6862178510487609</v>
      </c>
      <c r="AP16" s="263">
        <f>AF28/AC28</f>
        <v>2.6167745809747109</v>
      </c>
      <c r="AQ16" s="265">
        <f>AF38/AC38</f>
        <v>2.6428600660079877</v>
      </c>
    </row>
    <row r="17" spans="1:43">
      <c r="A17" s="259">
        <v>35</v>
      </c>
      <c r="B17" s="260">
        <v>0</v>
      </c>
      <c r="C17" s="260" t="s">
        <v>213</v>
      </c>
      <c r="D17" s="262">
        <v>6</v>
      </c>
      <c r="E17" s="263">
        <v>18676</v>
      </c>
      <c r="F17" s="264">
        <v>12074.196904559745</v>
      </c>
      <c r="G17" s="264">
        <v>695.53269265840197</v>
      </c>
      <c r="H17" s="264">
        <v>2952.3398995253629</v>
      </c>
      <c r="I17" s="264">
        <v>200.37998024301581</v>
      </c>
      <c r="J17" s="263">
        <v>-25.562612979077379</v>
      </c>
      <c r="K17" s="265">
        <v>-29.37594413674109</v>
      </c>
      <c r="L17" s="190">
        <v>0</v>
      </c>
      <c r="N17" s="259"/>
      <c r="O17" s="260">
        <v>5</v>
      </c>
      <c r="P17" s="262" t="s">
        <v>213</v>
      </c>
      <c r="Q17" s="263">
        <f>F9</f>
        <v>12282.512251932189</v>
      </c>
      <c r="R17" s="263">
        <f>F49</f>
        <v>68045.440653417929</v>
      </c>
      <c r="S17" s="263">
        <f>F89</f>
        <v>12270062.541179288</v>
      </c>
      <c r="T17" s="263">
        <f>F129</f>
        <v>6429826.9014938651</v>
      </c>
      <c r="Z17" s="259"/>
      <c r="AA17" s="260">
        <v>5</v>
      </c>
      <c r="AB17" s="262" t="s">
        <v>213</v>
      </c>
      <c r="AC17" s="263">
        <f>H9</f>
        <v>2835.7558105785802</v>
      </c>
      <c r="AD17" s="263">
        <f>H49</f>
        <v>5340.469550964699</v>
      </c>
      <c r="AE17" s="263">
        <f>H89</f>
        <v>318275.58414724423</v>
      </c>
      <c r="AF17" s="263">
        <f>H129</f>
        <v>334704.73881030036</v>
      </c>
      <c r="AG17" s="273">
        <f>I9</f>
        <v>154.53344591407458</v>
      </c>
      <c r="AH17" s="263">
        <f>I49</f>
        <v>577.18489737566074</v>
      </c>
      <c r="AI17" s="263">
        <f>I89</f>
        <v>30378.377897089049</v>
      </c>
      <c r="AJ17" s="265">
        <f>I129</f>
        <v>35565.420290472714</v>
      </c>
      <c r="AL17" s="452"/>
      <c r="AM17" s="265">
        <v>10</v>
      </c>
      <c r="AN17" s="273">
        <f>AF10/AC10</f>
        <v>2.4959887572119097</v>
      </c>
      <c r="AO17" s="263">
        <f>AF20/AC20</f>
        <v>2.7958004877408817</v>
      </c>
      <c r="AP17" s="263">
        <f>AF30/AC30</f>
        <v>2.495817534909786</v>
      </c>
      <c r="AQ17" s="265">
        <f>AF40/AC40</f>
        <v>2.5582770797248013</v>
      </c>
    </row>
    <row r="18" spans="1:43" ht="17" thickBot="1">
      <c r="A18" s="259">
        <v>35</v>
      </c>
      <c r="B18" s="260">
        <v>1</v>
      </c>
      <c r="C18" s="260" t="s">
        <v>213</v>
      </c>
      <c r="D18" s="262">
        <v>6</v>
      </c>
      <c r="E18" s="263">
        <v>20949</v>
      </c>
      <c r="F18" s="264">
        <v>10941.818748388574</v>
      </c>
      <c r="G18" s="264">
        <v>324.4742491487184</v>
      </c>
      <c r="H18" s="264">
        <v>2747.6341753044194</v>
      </c>
      <c r="I18" s="264">
        <v>68.556103325196034</v>
      </c>
      <c r="J18" s="263">
        <v>-28.433689615927513</v>
      </c>
      <c r="K18" s="265">
        <v>-31.773601397521244</v>
      </c>
      <c r="L18" s="190">
        <v>0</v>
      </c>
      <c r="N18" s="259"/>
      <c r="O18" s="260"/>
      <c r="P18" s="262" t="s">
        <v>214</v>
      </c>
      <c r="Q18" s="263">
        <f>F29</f>
        <v>9850.6692966908122</v>
      </c>
      <c r="R18" s="263">
        <f>F69</f>
        <v>12988.306773781535</v>
      </c>
      <c r="S18" s="263">
        <f>F109</f>
        <v>147227.10320130675</v>
      </c>
      <c r="T18" s="263">
        <f>F149</f>
        <v>133040.56412734653</v>
      </c>
      <c r="Z18" s="259"/>
      <c r="AA18" s="260"/>
      <c r="AB18" s="262" t="s">
        <v>214</v>
      </c>
      <c r="AC18" s="263">
        <f>H29</f>
        <v>2682.3644569627163</v>
      </c>
      <c r="AD18" s="263">
        <f>H69</f>
        <v>2564.2336988160423</v>
      </c>
      <c r="AE18" s="263">
        <f>H109</f>
        <v>5283.7319713944144</v>
      </c>
      <c r="AF18" s="263">
        <f>H149</f>
        <v>7205.4152873119638</v>
      </c>
      <c r="AG18" s="273">
        <f>I29</f>
        <v>97.433502870247239</v>
      </c>
      <c r="AH18" s="263">
        <f>I69</f>
        <v>48.231861640961412</v>
      </c>
      <c r="AI18" s="263">
        <f>I109</f>
        <v>75.391883661168507</v>
      </c>
      <c r="AJ18" s="265">
        <f>I149</f>
        <v>1485.5231874264548</v>
      </c>
      <c r="AL18" s="453"/>
      <c r="AM18" s="274">
        <v>20</v>
      </c>
      <c r="AN18" s="275">
        <f>AF12/AC12</f>
        <v>2.3747293828504761</v>
      </c>
      <c r="AO18" s="276">
        <f>AF22/AC22</f>
        <v>2.6578157277849868</v>
      </c>
      <c r="AP18" s="276">
        <f>AF32/AC32</f>
        <v>2.3356857299774099</v>
      </c>
      <c r="AQ18" s="274">
        <f>AF42/AC42</f>
        <v>3.06364241463594</v>
      </c>
    </row>
    <row r="19" spans="1:43">
      <c r="A19" s="259">
        <v>35</v>
      </c>
      <c r="B19" s="260">
        <v>5</v>
      </c>
      <c r="C19" s="260" t="s">
        <v>213</v>
      </c>
      <c r="D19" s="262">
        <v>6</v>
      </c>
      <c r="E19" s="263">
        <v>19636</v>
      </c>
      <c r="F19" s="264">
        <v>10951.568332210089</v>
      </c>
      <c r="G19" s="264">
        <v>563.34214140631434</v>
      </c>
      <c r="H19" s="264">
        <v>2785.4578618951537</v>
      </c>
      <c r="I19" s="264">
        <v>146.95842791674173</v>
      </c>
      <c r="J19" s="263">
        <v>-31.357019932336133</v>
      </c>
      <c r="K19" s="265">
        <v>-34.634156683055302</v>
      </c>
      <c r="L19" s="190">
        <v>0</v>
      </c>
      <c r="N19" s="259"/>
      <c r="O19" s="260">
        <v>10</v>
      </c>
      <c r="P19" s="262" t="s">
        <v>213</v>
      </c>
      <c r="Q19" s="263">
        <f>F10</f>
        <v>10305.233558971982</v>
      </c>
      <c r="R19" s="263">
        <f>F50</f>
        <v>41607.925076400992</v>
      </c>
      <c r="S19" s="263">
        <f>F90</f>
        <v>7887222.9406035552</v>
      </c>
      <c r="T19" s="263">
        <f>F130</f>
        <v>5286499.6854784656</v>
      </c>
      <c r="Z19" s="259"/>
      <c r="AA19" s="260">
        <v>10</v>
      </c>
      <c r="AB19" s="262" t="s">
        <v>213</v>
      </c>
      <c r="AC19" s="263">
        <f>H10</f>
        <v>2556.432920446854</v>
      </c>
      <c r="AD19" s="263">
        <f>H50</f>
        <v>3604.9479525870411</v>
      </c>
      <c r="AE19" s="263">
        <f>H90</f>
        <v>162909.29167273163</v>
      </c>
      <c r="AF19" s="263">
        <f>H130</f>
        <v>172436.3253968161</v>
      </c>
      <c r="AG19" s="273">
        <f>I10</f>
        <v>40.152993901827948</v>
      </c>
      <c r="AH19" s="263">
        <f>I50</f>
        <v>115.0458710804137</v>
      </c>
      <c r="AI19" s="263">
        <f>I90</f>
        <v>25310.899096239882</v>
      </c>
      <c r="AJ19" s="265">
        <f>I130</f>
        <v>43619.244925448169</v>
      </c>
    </row>
    <row r="20" spans="1:43" ht="17" thickBot="1">
      <c r="A20" s="259">
        <v>35</v>
      </c>
      <c r="B20" s="260">
        <v>10</v>
      </c>
      <c r="C20" s="260" t="s">
        <v>213</v>
      </c>
      <c r="D20" s="262">
        <v>6</v>
      </c>
      <c r="E20" s="263">
        <v>13639</v>
      </c>
      <c r="F20" s="264">
        <v>10932.02370344755</v>
      </c>
      <c r="G20" s="264">
        <v>236.29068206607977</v>
      </c>
      <c r="H20" s="264">
        <v>2731.7613339368227</v>
      </c>
      <c r="I20" s="264">
        <v>87.313462296228082</v>
      </c>
      <c r="J20" s="263">
        <v>-31.510689726011837</v>
      </c>
      <c r="K20" s="265">
        <v>-39.893819606768758</v>
      </c>
      <c r="L20" s="190">
        <v>0</v>
      </c>
      <c r="N20" s="259"/>
      <c r="O20" s="260"/>
      <c r="P20" s="262" t="s">
        <v>214</v>
      </c>
      <c r="Q20" s="263">
        <f>F30</f>
        <v>10043.70094814631</v>
      </c>
      <c r="R20" s="263">
        <f>F70</f>
        <v>13345.5786413638</v>
      </c>
      <c r="S20" s="263">
        <f>F110</f>
        <v>144279.74156806839</v>
      </c>
      <c r="T20" s="263">
        <f>F150</f>
        <v>134722.85974742612</v>
      </c>
      <c r="Z20" s="259"/>
      <c r="AA20" s="260"/>
      <c r="AB20" s="262" t="s">
        <v>214</v>
      </c>
      <c r="AC20" s="263">
        <f>H30</f>
        <v>2642.7596006147828</v>
      </c>
      <c r="AD20" s="263">
        <f>H70</f>
        <v>2638.1209783001805</v>
      </c>
      <c r="AE20" s="263">
        <f>H110</f>
        <v>5283.2333517327743</v>
      </c>
      <c r="AF20" s="263">
        <f>H150</f>
        <v>7388.6285803807077</v>
      </c>
      <c r="AG20" s="273">
        <f>I30</f>
        <v>59.647761113806773</v>
      </c>
      <c r="AH20" s="263">
        <f>I70</f>
        <v>102.83488585634214</v>
      </c>
      <c r="AI20" s="263">
        <f>I110</f>
        <v>248.97417276919782</v>
      </c>
      <c r="AJ20" s="265">
        <f>I150</f>
        <v>1340.6290295305666</v>
      </c>
      <c r="AL20" s="190" t="s">
        <v>1097</v>
      </c>
    </row>
    <row r="21" spans="1:43">
      <c r="A21" s="259">
        <v>35</v>
      </c>
      <c r="B21" s="260">
        <v>20</v>
      </c>
      <c r="C21" s="260" t="s">
        <v>213</v>
      </c>
      <c r="D21" s="262">
        <v>6</v>
      </c>
      <c r="E21" s="263">
        <v>11671</v>
      </c>
      <c r="F21" s="264">
        <v>11420.238329837966</v>
      </c>
      <c r="G21" s="264">
        <v>35.552911219146736</v>
      </c>
      <c r="H21" s="264">
        <v>2789.0415139762463</v>
      </c>
      <c r="I21" s="264">
        <v>83.826197423803734</v>
      </c>
      <c r="J21" s="263">
        <v>-27.611732288085364</v>
      </c>
      <c r="K21" s="265">
        <v>-31.1289502218604</v>
      </c>
      <c r="L21" s="190">
        <v>0</v>
      </c>
      <c r="N21" s="259"/>
      <c r="O21" s="260">
        <v>20</v>
      </c>
      <c r="P21" s="262" t="s">
        <v>213</v>
      </c>
      <c r="Q21" s="263">
        <f>F11</f>
        <v>10649.096162803133</v>
      </c>
      <c r="R21" s="263">
        <f>F51</f>
        <v>48196.683840304308</v>
      </c>
      <c r="S21" s="263">
        <f>F91</f>
        <v>9215368.2844574191</v>
      </c>
      <c r="T21" s="263">
        <f>F131</f>
        <v>6322919.1334610162</v>
      </c>
      <c r="Z21" s="259"/>
      <c r="AA21" s="260">
        <v>20</v>
      </c>
      <c r="AB21" s="262" t="s">
        <v>213</v>
      </c>
      <c r="AC21" s="263">
        <f>H11</f>
        <v>2652.3754886403794</v>
      </c>
      <c r="AD21" s="263">
        <f>H51</f>
        <v>3508.0546844473652</v>
      </c>
      <c r="AE21" s="263">
        <f>H91</f>
        <v>101368.94819459472</v>
      </c>
      <c r="AF21" s="263">
        <f>H131</f>
        <v>99871.292023677583</v>
      </c>
      <c r="AG21" s="273">
        <f>I11</f>
        <v>121.91508811832792</v>
      </c>
      <c r="AH21" s="263">
        <f>I51</f>
        <v>170.29840399002327</v>
      </c>
      <c r="AI21" s="263">
        <f>I91</f>
        <v>7117.2046469501074</v>
      </c>
      <c r="AJ21" s="265">
        <f>I131</f>
        <v>5075.6264100017333</v>
      </c>
      <c r="AL21" s="269"/>
      <c r="AM21" s="256"/>
      <c r="AN21" s="449" t="s">
        <v>1094</v>
      </c>
      <c r="AO21" s="449"/>
      <c r="AP21" s="449"/>
      <c r="AQ21" s="450"/>
    </row>
    <row r="22" spans="1:43" ht="17" thickBot="1">
      <c r="A22" s="259">
        <v>5</v>
      </c>
      <c r="B22" s="260">
        <v>0</v>
      </c>
      <c r="C22" s="260" t="s">
        <v>214</v>
      </c>
      <c r="D22" s="262">
        <v>6</v>
      </c>
      <c r="E22" s="263">
        <v>14669</v>
      </c>
      <c r="F22" s="264">
        <v>10078.319163580389</v>
      </c>
      <c r="G22" s="264">
        <v>141.41429746310573</v>
      </c>
      <c r="H22" s="264">
        <v>2667.0850506812085</v>
      </c>
      <c r="I22" s="264">
        <v>198.71004700387718</v>
      </c>
      <c r="J22" s="263"/>
      <c r="K22" s="265"/>
      <c r="N22" s="277"/>
      <c r="O22" s="261"/>
      <c r="P22" s="278" t="s">
        <v>214</v>
      </c>
      <c r="Q22" s="276">
        <f>F31</f>
        <v>9976.4417504954836</v>
      </c>
      <c r="R22" s="276">
        <f>F71</f>
        <v>14065.496658280077</v>
      </c>
      <c r="S22" s="276">
        <f>F111</f>
        <v>147609.75149661681</v>
      </c>
      <c r="T22" s="276">
        <f>F151</f>
        <v>121826.34545631908</v>
      </c>
      <c r="Z22" s="277"/>
      <c r="AA22" s="261"/>
      <c r="AB22" s="278" t="s">
        <v>214</v>
      </c>
      <c r="AC22" s="276">
        <f>H31</f>
        <v>2697.1870516031699</v>
      </c>
      <c r="AD22" s="276">
        <f>H71</f>
        <v>2606.5074181957398</v>
      </c>
      <c r="AE22" s="276">
        <f>H111</f>
        <v>5217.3427645047414</v>
      </c>
      <c r="AF22" s="276">
        <f>H151</f>
        <v>7168.6261665289221</v>
      </c>
      <c r="AG22" s="275">
        <f>I31</f>
        <v>115.69577442004982</v>
      </c>
      <c r="AH22" s="276">
        <f>I71</f>
        <v>120.84993354838814</v>
      </c>
      <c r="AI22" s="276">
        <f>I111</f>
        <v>192.94112380978194</v>
      </c>
      <c r="AJ22" s="274">
        <f>I151</f>
        <v>931.36776476045543</v>
      </c>
      <c r="AL22" s="273"/>
      <c r="AM22" s="263"/>
      <c r="AN22" s="263">
        <v>5</v>
      </c>
      <c r="AO22" s="263">
        <v>15</v>
      </c>
      <c r="AP22" s="263">
        <v>25</v>
      </c>
      <c r="AQ22" s="265">
        <v>35</v>
      </c>
    </row>
    <row r="23" spans="1:43">
      <c r="A23" s="259">
        <v>5</v>
      </c>
      <c r="B23" s="260">
        <v>1</v>
      </c>
      <c r="C23" s="260" t="s">
        <v>214</v>
      </c>
      <c r="D23" s="262">
        <v>6</v>
      </c>
      <c r="E23" s="263">
        <v>12860</v>
      </c>
      <c r="F23" s="264">
        <v>9627.1065634831248</v>
      </c>
      <c r="G23" s="264">
        <v>571.34740958041175</v>
      </c>
      <c r="H23" s="264">
        <v>2695.5103978233055</v>
      </c>
      <c r="I23" s="264">
        <v>110.25459594001552</v>
      </c>
      <c r="J23" s="263"/>
      <c r="K23" s="265"/>
      <c r="N23" s="253">
        <v>25</v>
      </c>
      <c r="O23" s="254">
        <v>0</v>
      </c>
      <c r="P23" s="255" t="s">
        <v>213</v>
      </c>
      <c r="Q23" s="256">
        <f>F12</f>
        <v>11286.527243465422</v>
      </c>
      <c r="R23" s="256">
        <f>F52</f>
        <v>23563.605756937883</v>
      </c>
      <c r="S23" s="256">
        <f>F92</f>
        <v>7639832.7739950893</v>
      </c>
      <c r="T23" s="256">
        <f>F132</f>
        <v>5422356.0142790247</v>
      </c>
      <c r="Z23" s="253">
        <v>25</v>
      </c>
      <c r="AA23" s="254">
        <v>0</v>
      </c>
      <c r="AB23" s="255" t="s">
        <v>213</v>
      </c>
      <c r="AC23" s="256">
        <f>H12</f>
        <v>2797.8507089688792</v>
      </c>
      <c r="AD23" s="256">
        <f>H52</f>
        <v>4905.3338735317748</v>
      </c>
      <c r="AE23" s="256">
        <f>H92</f>
        <v>827383.54503436806</v>
      </c>
      <c r="AF23" s="256">
        <f>H132</f>
        <v>1096320.7768380353</v>
      </c>
      <c r="AG23" s="269">
        <f>I12</f>
        <v>54.403358134499349</v>
      </c>
      <c r="AH23" s="256">
        <f>I52</f>
        <v>4056.1560706664354</v>
      </c>
      <c r="AI23" s="256">
        <f>I92</f>
        <v>98305.654581496041</v>
      </c>
      <c r="AJ23" s="258">
        <f>I132</f>
        <v>163585.01113744269</v>
      </c>
      <c r="AL23" s="451" t="s">
        <v>1095</v>
      </c>
      <c r="AM23" s="258">
        <v>0</v>
      </c>
      <c r="AN23" s="269">
        <f>AN5/AN14</f>
        <v>0.29451973207881049</v>
      </c>
      <c r="AO23" s="256">
        <f t="shared" ref="AO23:AQ23" si="0">AO5/AO14</f>
        <v>0.23368572582860708</v>
      </c>
      <c r="AP23" s="256">
        <f t="shared" si="0"/>
        <v>6.6924278705716808E-2</v>
      </c>
      <c r="AQ23" s="258">
        <f t="shared" si="0"/>
        <v>1.9806135852198488E-2</v>
      </c>
    </row>
    <row r="24" spans="1:43">
      <c r="A24" s="259">
        <v>5</v>
      </c>
      <c r="B24" s="260">
        <v>5</v>
      </c>
      <c r="C24" s="260" t="s">
        <v>214</v>
      </c>
      <c r="D24" s="262">
        <v>6</v>
      </c>
      <c r="E24" s="263">
        <v>9411</v>
      </c>
      <c r="F24" s="264">
        <v>10340.985326809838</v>
      </c>
      <c r="G24" s="264">
        <v>344.47896936236094</v>
      </c>
      <c r="H24" s="264">
        <v>2862.3975814993669</v>
      </c>
      <c r="I24" s="264">
        <v>17.81631298105593</v>
      </c>
      <c r="J24" s="263"/>
      <c r="K24" s="265"/>
      <c r="N24" s="259"/>
      <c r="O24" s="260"/>
      <c r="P24" s="262" t="s">
        <v>214</v>
      </c>
      <c r="Q24" s="263">
        <f>F32</f>
        <v>10063.086832904823</v>
      </c>
      <c r="R24" s="263">
        <f>F72</f>
        <v>13202.054970807827</v>
      </c>
      <c r="S24" s="263">
        <f>F112</f>
        <v>128775.70910679025</v>
      </c>
      <c r="T24" s="263">
        <f>F152</f>
        <v>103707.98667552396</v>
      </c>
      <c r="Z24" s="259"/>
      <c r="AA24" s="260"/>
      <c r="AB24" s="262" t="s">
        <v>214</v>
      </c>
      <c r="AC24" s="263">
        <f>H32</f>
        <v>2674.4277595937428</v>
      </c>
      <c r="AD24" s="263">
        <f>H72</f>
        <v>2916.5575894275016</v>
      </c>
      <c r="AE24" s="263">
        <f>H112</f>
        <v>71297.954612063724</v>
      </c>
      <c r="AF24" s="263">
        <f>H152</f>
        <v>209311.17152650293</v>
      </c>
      <c r="AG24" s="273">
        <f>I32</f>
        <v>106.50377069106999</v>
      </c>
      <c r="AH24" s="263">
        <f>I72</f>
        <v>51.493445626409546</v>
      </c>
      <c r="AI24" s="263">
        <f>I112</f>
        <v>6860.3862825003816</v>
      </c>
      <c r="AJ24" s="265">
        <f>I152</f>
        <v>8665.3033394539798</v>
      </c>
      <c r="AL24" s="452"/>
      <c r="AM24" s="265">
        <v>1</v>
      </c>
      <c r="AN24" s="273">
        <f t="shared" ref="AN24:AQ27" si="1">AN6/AN15</f>
        <v>20.268957699601</v>
      </c>
      <c r="AO24" s="263">
        <f t="shared" si="1"/>
        <v>16.059459945874618</v>
      </c>
      <c r="AP24" s="263">
        <f t="shared" si="1"/>
        <v>12.992770618626343</v>
      </c>
      <c r="AQ24" s="265">
        <f t="shared" si="1"/>
        <v>9.3601098888740442</v>
      </c>
    </row>
    <row r="25" spans="1:43">
      <c r="A25" s="259">
        <v>5</v>
      </c>
      <c r="B25" s="260">
        <v>10</v>
      </c>
      <c r="C25" s="260" t="s">
        <v>214</v>
      </c>
      <c r="D25" s="262">
        <v>6</v>
      </c>
      <c r="E25" s="263">
        <v>10550</v>
      </c>
      <c r="F25" s="264">
        <v>10191.611854020917</v>
      </c>
      <c r="G25" s="264">
        <v>480.08511506567669</v>
      </c>
      <c r="H25" s="264">
        <v>2758.1956745871685</v>
      </c>
      <c r="I25" s="264">
        <v>23.442787144062248</v>
      </c>
      <c r="J25" s="263"/>
      <c r="K25" s="265"/>
      <c r="N25" s="259"/>
      <c r="O25" s="260">
        <v>1</v>
      </c>
      <c r="P25" s="262" t="s">
        <v>213</v>
      </c>
      <c r="Q25" s="263">
        <f>F13</f>
        <v>11309.329362577715</v>
      </c>
      <c r="R25" s="263">
        <f>F53</f>
        <v>63113.906325860218</v>
      </c>
      <c r="S25" s="263">
        <f>F93</f>
        <v>8696508.5548991468</v>
      </c>
      <c r="T25" s="263">
        <f>F133</f>
        <v>6216443.8564179605</v>
      </c>
      <c r="Z25" s="259"/>
      <c r="AA25" s="260">
        <v>1</v>
      </c>
      <c r="AB25" s="262" t="s">
        <v>213</v>
      </c>
      <c r="AC25" s="263">
        <f>H13</f>
        <v>2634.0302254482708</v>
      </c>
      <c r="AD25" s="263">
        <f>H53</f>
        <v>6760.3587152001674</v>
      </c>
      <c r="AE25" s="263">
        <f>H93</f>
        <v>622648.79510120535</v>
      </c>
      <c r="AF25" s="263">
        <f>H133</f>
        <v>875405.11460219196</v>
      </c>
      <c r="AG25" s="273">
        <f>I13</f>
        <v>28.09003135612107</v>
      </c>
      <c r="AH25" s="263">
        <f>I53</f>
        <v>443.83446777649254</v>
      </c>
      <c r="AI25" s="263">
        <f>I93</f>
        <v>41584.271910703828</v>
      </c>
      <c r="AJ25" s="265">
        <f>I133</f>
        <v>74472.065133871278</v>
      </c>
      <c r="AL25" s="452"/>
      <c r="AM25" s="265">
        <v>5</v>
      </c>
      <c r="AN25" s="273">
        <f t="shared" si="1"/>
        <v>5.0906534329766213</v>
      </c>
      <c r="AO25" s="263">
        <f t="shared" si="1"/>
        <v>17.292652477518107</v>
      </c>
      <c r="AP25" s="263">
        <f t="shared" si="1"/>
        <v>29.536066988837611</v>
      </c>
      <c r="AQ25" s="265">
        <f t="shared" si="1"/>
        <v>39.895570276490105</v>
      </c>
    </row>
    <row r="26" spans="1:43">
      <c r="A26" s="259">
        <v>5</v>
      </c>
      <c r="B26" s="260">
        <v>20</v>
      </c>
      <c r="C26" s="260" t="s">
        <v>214</v>
      </c>
      <c r="D26" s="262">
        <v>6</v>
      </c>
      <c r="E26" s="263">
        <v>23902</v>
      </c>
      <c r="F26" s="264">
        <v>9232.0229866205482</v>
      </c>
      <c r="G26" s="264">
        <v>254.67367598094205</v>
      </c>
      <c r="H26" s="264">
        <v>2617.3587103535137</v>
      </c>
      <c r="I26" s="264">
        <v>65.199441469111719</v>
      </c>
      <c r="J26" s="263"/>
      <c r="K26" s="265"/>
      <c r="N26" s="259"/>
      <c r="O26" s="260"/>
      <c r="P26" s="262" t="s">
        <v>214</v>
      </c>
      <c r="Q26" s="263">
        <f>F33</f>
        <v>10299.942003009493</v>
      </c>
      <c r="R26" s="263">
        <f>F73</f>
        <v>14075.42684307562</v>
      </c>
      <c r="S26" s="263">
        <f>F113</f>
        <v>165424.56922520231</v>
      </c>
      <c r="T26" s="263">
        <f>F153</f>
        <v>152671.58592476739</v>
      </c>
      <c r="Z26" s="259"/>
      <c r="AA26" s="260"/>
      <c r="AB26" s="262" t="s">
        <v>214</v>
      </c>
      <c r="AC26" s="263">
        <f>H33</f>
        <v>2772.6296467018569</v>
      </c>
      <c r="AD26" s="263">
        <f>H73</f>
        <v>2659.5863783215859</v>
      </c>
      <c r="AE26" s="263">
        <f>H113</f>
        <v>8034.3584461944847</v>
      </c>
      <c r="AF26" s="263">
        <f>H153</f>
        <v>13667.83053912964</v>
      </c>
      <c r="AG26" s="273">
        <f>I33</f>
        <v>8.8856089637733326</v>
      </c>
      <c r="AH26" s="263">
        <f>I73</f>
        <v>61.901080556984141</v>
      </c>
      <c r="AI26" s="263">
        <f>I113</f>
        <v>451.85396602009848</v>
      </c>
      <c r="AJ26" s="265">
        <f>I153</f>
        <v>2482.8840976283414</v>
      </c>
      <c r="AL26" s="452"/>
      <c r="AM26" s="265">
        <v>10</v>
      </c>
      <c r="AN26" s="273">
        <f t="shared" si="1"/>
        <v>3.1544695454251461</v>
      </c>
      <c r="AO26" s="263">
        <f t="shared" si="1"/>
        <v>8.347544591336824</v>
      </c>
      <c r="AP26" s="263">
        <f t="shared" si="1"/>
        <v>21.775895968989051</v>
      </c>
      <c r="AQ26" s="265">
        <f t="shared" si="1"/>
        <v>31.368191507667429</v>
      </c>
    </row>
    <row r="27" spans="1:43" ht="17" thickBot="1">
      <c r="A27" s="259">
        <v>15</v>
      </c>
      <c r="B27" s="260">
        <v>0</v>
      </c>
      <c r="C27" s="260" t="s">
        <v>214</v>
      </c>
      <c r="D27" s="262">
        <v>6</v>
      </c>
      <c r="E27" s="263">
        <v>17533</v>
      </c>
      <c r="F27" s="264">
        <v>10017.134806413471</v>
      </c>
      <c r="G27" s="264">
        <v>189.90496476658686</v>
      </c>
      <c r="H27" s="264">
        <v>2678.1116140890949</v>
      </c>
      <c r="I27" s="264">
        <v>94.63468148853292</v>
      </c>
      <c r="J27" s="263"/>
      <c r="K27" s="265"/>
      <c r="N27" s="259"/>
      <c r="O27" s="260">
        <v>5</v>
      </c>
      <c r="P27" s="262" t="s">
        <v>213</v>
      </c>
      <c r="Q27" s="263">
        <f>F14</f>
        <v>11467.394775184814</v>
      </c>
      <c r="R27" s="263">
        <f>F54</f>
        <v>71567.853085118768</v>
      </c>
      <c r="S27" s="263">
        <f>F94</f>
        <v>9820490.5058288109</v>
      </c>
      <c r="T27" s="263">
        <f>F134</f>
        <v>6810343.1802737005</v>
      </c>
      <c r="Z27" s="259"/>
      <c r="AA27" s="260">
        <v>5</v>
      </c>
      <c r="AB27" s="262" t="s">
        <v>213</v>
      </c>
      <c r="AC27" s="263">
        <f>H14</f>
        <v>2704.3183317640651</v>
      </c>
      <c r="AD27" s="263">
        <f>H54</f>
        <v>5574.9868903867327</v>
      </c>
      <c r="AE27" s="263">
        <f>H94</f>
        <v>405995.43867486744</v>
      </c>
      <c r="AF27" s="263">
        <f>H134</f>
        <v>503058.93690248381</v>
      </c>
      <c r="AG27" s="273">
        <f>I14</f>
        <v>67.609330928553987</v>
      </c>
      <c r="AH27" s="263">
        <f>I54</f>
        <v>265.97314851082956</v>
      </c>
      <c r="AI27" s="263">
        <f>I94</f>
        <v>23239.619818079576</v>
      </c>
      <c r="AJ27" s="265">
        <f>I134</f>
        <v>40546.872791666312</v>
      </c>
      <c r="AL27" s="453"/>
      <c r="AM27" s="274">
        <v>20</v>
      </c>
      <c r="AN27" s="275">
        <f t="shared" si="1"/>
        <v>2.1352671542979342</v>
      </c>
      <c r="AO27" s="276">
        <f t="shared" si="1"/>
        <v>5.2417930192768134</v>
      </c>
      <c r="AP27" s="276">
        <f t="shared" si="1"/>
        <v>16.276748848604861</v>
      </c>
      <c r="AQ27" s="274">
        <f t="shared" si="1"/>
        <v>12.707778018617077</v>
      </c>
    </row>
    <row r="28" spans="1:43">
      <c r="A28" s="259">
        <v>15</v>
      </c>
      <c r="B28" s="260">
        <v>1</v>
      </c>
      <c r="C28" s="260" t="s">
        <v>214</v>
      </c>
      <c r="D28" s="262">
        <v>6</v>
      </c>
      <c r="E28" s="263">
        <v>12960</v>
      </c>
      <c r="F28" s="264">
        <v>9966.6403121692783</v>
      </c>
      <c r="G28" s="264">
        <v>749.64214072747279</v>
      </c>
      <c r="H28" s="264">
        <v>2668.8387614839039</v>
      </c>
      <c r="I28" s="264">
        <v>33.884488028212481</v>
      </c>
      <c r="J28" s="263"/>
      <c r="K28" s="265"/>
      <c r="N28" s="259"/>
      <c r="O28" s="260"/>
      <c r="P28" s="262" t="s">
        <v>214</v>
      </c>
      <c r="Q28" s="263">
        <f>F34</f>
        <v>9298.110266892787</v>
      </c>
      <c r="R28" s="263">
        <f>F74</f>
        <v>12869.095085349818</v>
      </c>
      <c r="S28" s="263">
        <f>F114</f>
        <v>162457.40684024291</v>
      </c>
      <c r="T28" s="263">
        <f>F154</f>
        <v>159580.98122613854</v>
      </c>
      <c r="Z28" s="259"/>
      <c r="AA28" s="260"/>
      <c r="AB28" s="262" t="s">
        <v>214</v>
      </c>
      <c r="AC28" s="263">
        <f>H34</f>
        <v>2487.3309820626428</v>
      </c>
      <c r="AD28" s="263">
        <f>H74</f>
        <v>2820.8683992579108</v>
      </c>
      <c r="AE28" s="263">
        <f>H114</f>
        <v>5164.0475248242983</v>
      </c>
      <c r="AF28" s="263">
        <f>H154</f>
        <v>6508.7844883323878</v>
      </c>
      <c r="AG28" s="273">
        <f>I34</f>
        <v>118.17191814186442</v>
      </c>
      <c r="AH28" s="263">
        <f>I74</f>
        <v>27.604891123765103</v>
      </c>
      <c r="AI28" s="263">
        <f>I114</f>
        <v>79.353589714470672</v>
      </c>
      <c r="AJ28" s="265">
        <f>I154</f>
        <v>369.7255008786853</v>
      </c>
    </row>
    <row r="29" spans="1:43">
      <c r="A29" s="259">
        <v>15</v>
      </c>
      <c r="B29" s="260">
        <v>5</v>
      </c>
      <c r="C29" s="260" t="s">
        <v>214</v>
      </c>
      <c r="D29" s="262">
        <v>6</v>
      </c>
      <c r="E29" s="263">
        <v>10323</v>
      </c>
      <c r="F29" s="264">
        <v>9850.6692966908122</v>
      </c>
      <c r="G29" s="264">
        <v>290.18377374136765</v>
      </c>
      <c r="H29" s="264">
        <v>2682.3644569627163</v>
      </c>
      <c r="I29" s="264">
        <v>97.433502870247239</v>
      </c>
      <c r="J29" s="263"/>
      <c r="K29" s="265"/>
      <c r="N29" s="259"/>
      <c r="O29" s="260">
        <v>10</v>
      </c>
      <c r="P29" s="262" t="s">
        <v>213</v>
      </c>
      <c r="Q29" s="263">
        <f>F15</f>
        <v>11596.456968181206</v>
      </c>
      <c r="R29" s="263">
        <f>F55</f>
        <v>81011.222372453456</v>
      </c>
      <c r="S29" s="263">
        <f>F95</f>
        <v>8643720.5372069534</v>
      </c>
      <c r="T29" s="263">
        <f>F135</f>
        <v>6969670.9176768679</v>
      </c>
      <c r="Z29" s="259"/>
      <c r="AA29" s="260">
        <v>10</v>
      </c>
      <c r="AB29" s="262" t="s">
        <v>213</v>
      </c>
      <c r="AC29" s="263">
        <f>H15</f>
        <v>2733.5964527858973</v>
      </c>
      <c r="AD29" s="263">
        <f>H55</f>
        <v>5269.6151900460809</v>
      </c>
      <c r="AE29" s="263">
        <f>H95</f>
        <v>232460.70511803939</v>
      </c>
      <c r="AF29" s="263">
        <f>H135</f>
        <v>336352.39139764896</v>
      </c>
      <c r="AG29" s="273">
        <f>I15</f>
        <v>34.664542595647596</v>
      </c>
      <c r="AH29" s="263">
        <f>I55</f>
        <v>491.20921910280452</v>
      </c>
      <c r="AI29" s="263">
        <f>I95</f>
        <v>22177.210006421046</v>
      </c>
      <c r="AJ29" s="265">
        <f>I135</f>
        <v>66988.578848231671</v>
      </c>
    </row>
    <row r="30" spans="1:43" ht="17" thickBot="1">
      <c r="A30" s="259">
        <v>15</v>
      </c>
      <c r="B30" s="260">
        <v>10</v>
      </c>
      <c r="C30" s="260" t="s">
        <v>214</v>
      </c>
      <c r="D30" s="262">
        <v>6</v>
      </c>
      <c r="E30" s="263">
        <v>12585</v>
      </c>
      <c r="F30" s="264">
        <v>10043.70094814631</v>
      </c>
      <c r="G30" s="264">
        <v>684.14955648961313</v>
      </c>
      <c r="H30" s="264">
        <v>2642.7596006147828</v>
      </c>
      <c r="I30" s="264">
        <v>59.647761113806773</v>
      </c>
      <c r="J30" s="263"/>
      <c r="K30" s="265"/>
      <c r="N30" s="259"/>
      <c r="O30" s="260"/>
      <c r="P30" s="262" t="s">
        <v>214</v>
      </c>
      <c r="Q30" s="263">
        <f>F35</f>
        <v>9214.4981142501128</v>
      </c>
      <c r="R30" s="263">
        <f>F75</f>
        <v>13725.12663839298</v>
      </c>
      <c r="S30" s="263">
        <f>F115</f>
        <v>148001.97500567124</v>
      </c>
      <c r="T30" s="263">
        <f>F155</f>
        <v>133009.32114329675</v>
      </c>
      <c r="Z30" s="259"/>
      <c r="AA30" s="260"/>
      <c r="AB30" s="262" t="s">
        <v>214</v>
      </c>
      <c r="AC30" s="263">
        <f>H35</f>
        <v>2479.6639229473799</v>
      </c>
      <c r="AD30" s="263">
        <f>H75</f>
        <v>2840.7556673958861</v>
      </c>
      <c r="AE30" s="263">
        <f>H115</f>
        <v>4766.5447292184617</v>
      </c>
      <c r="AF30" s="263">
        <f>H155</f>
        <v>6188.7886995752588</v>
      </c>
      <c r="AG30" s="273">
        <f>I35</f>
        <v>104.23223039832627</v>
      </c>
      <c r="AH30" s="263">
        <f>I75</f>
        <v>152.4595932859049</v>
      </c>
      <c r="AI30" s="263">
        <f>I115</f>
        <v>156.17390782274407</v>
      </c>
      <c r="AJ30" s="265">
        <f>I155</f>
        <v>469.91061482468405</v>
      </c>
      <c r="AL30" s="190" t="s">
        <v>1098</v>
      </c>
    </row>
    <row r="31" spans="1:43">
      <c r="A31" s="259">
        <v>15</v>
      </c>
      <c r="B31" s="260">
        <v>20</v>
      </c>
      <c r="C31" s="260" t="s">
        <v>214</v>
      </c>
      <c r="D31" s="262">
        <v>6</v>
      </c>
      <c r="E31" s="263">
        <v>9690</v>
      </c>
      <c r="F31" s="264">
        <v>9976.4417504954836</v>
      </c>
      <c r="G31" s="264">
        <v>338.21405852211205</v>
      </c>
      <c r="H31" s="264">
        <v>2697.1870516031699</v>
      </c>
      <c r="I31" s="264">
        <v>115.69577442004982</v>
      </c>
      <c r="J31" s="263"/>
      <c r="K31" s="265"/>
      <c r="N31" s="259"/>
      <c r="O31" s="260">
        <v>20</v>
      </c>
      <c r="P31" s="262" t="s">
        <v>213</v>
      </c>
      <c r="Q31" s="263">
        <f>F16</f>
        <v>12576.135858266594</v>
      </c>
      <c r="R31" s="263">
        <f>F56</f>
        <v>91153.467983302064</v>
      </c>
      <c r="S31" s="263">
        <f>F96</f>
        <v>9590281.8116140198</v>
      </c>
      <c r="T31" s="263">
        <f>F136</f>
        <v>7674216.7594737187</v>
      </c>
      <c r="Z31" s="259"/>
      <c r="AA31" s="260">
        <v>20</v>
      </c>
      <c r="AB31" s="262" t="s">
        <v>213</v>
      </c>
      <c r="AC31" s="263">
        <f>H16</f>
        <v>2816.0648463304701</v>
      </c>
      <c r="AD31" s="263">
        <f>H56</f>
        <v>4996.1467591919654</v>
      </c>
      <c r="AE31" s="263">
        <f>H96</f>
        <v>181836.42557559838</v>
      </c>
      <c r="AF31" s="263">
        <f>H136</f>
        <v>225273.15625203738</v>
      </c>
      <c r="AG31" s="273">
        <f>I16</f>
        <v>256.53045194680209</v>
      </c>
      <c r="AH31" s="263">
        <f>I56</f>
        <v>129.56588980679487</v>
      </c>
      <c r="AI31" s="263">
        <f>I96</f>
        <v>13458.330235839838</v>
      </c>
      <c r="AJ31" s="265">
        <f>I136</f>
        <v>9100.8104626796139</v>
      </c>
      <c r="AL31" s="269"/>
      <c r="AM31" s="256"/>
      <c r="AN31" s="449" t="s">
        <v>1094</v>
      </c>
      <c r="AO31" s="449"/>
      <c r="AP31" s="449"/>
      <c r="AQ31" s="450"/>
    </row>
    <row r="32" spans="1:43" ht="17" thickBot="1">
      <c r="A32" s="259">
        <v>25</v>
      </c>
      <c r="B32" s="260">
        <v>0</v>
      </c>
      <c r="C32" s="260" t="s">
        <v>214</v>
      </c>
      <c r="D32" s="262">
        <v>6</v>
      </c>
      <c r="E32" s="263">
        <v>13968</v>
      </c>
      <c r="F32" s="264">
        <v>10063.086832904823</v>
      </c>
      <c r="G32" s="264">
        <v>445.15095313607259</v>
      </c>
      <c r="H32" s="264">
        <v>2674.4277595937428</v>
      </c>
      <c r="I32" s="264">
        <v>106.50377069106999</v>
      </c>
      <c r="J32" s="263"/>
      <c r="K32" s="265"/>
      <c r="N32" s="277"/>
      <c r="O32" s="261"/>
      <c r="P32" s="278" t="s">
        <v>214</v>
      </c>
      <c r="Q32" s="276">
        <f>F36</f>
        <v>9432.4578342832501</v>
      </c>
      <c r="R32" s="276">
        <f>F76</f>
        <v>14512.9653742841</v>
      </c>
      <c r="S32" s="276">
        <f>F116</f>
        <v>152799.12992022897</v>
      </c>
      <c r="T32" s="276">
        <f>F156</f>
        <v>109781.73537154232</v>
      </c>
      <c r="Z32" s="277"/>
      <c r="AA32" s="261"/>
      <c r="AB32" s="278" t="s">
        <v>214</v>
      </c>
      <c r="AC32" s="276">
        <f>H36</f>
        <v>2536.9561852472557</v>
      </c>
      <c r="AD32" s="276">
        <f>H76</f>
        <v>2988.3893817559865</v>
      </c>
      <c r="AE32" s="276">
        <f>H116</f>
        <v>4968.8018867762603</v>
      </c>
      <c r="AF32" s="276">
        <f>H156</f>
        <v>5925.5323594599413</v>
      </c>
      <c r="AG32" s="275">
        <f>I36</f>
        <v>16.137670770545416</v>
      </c>
      <c r="AH32" s="276">
        <f>I76</f>
        <v>77.949332289595887</v>
      </c>
      <c r="AI32" s="276">
        <f>I116</f>
        <v>135.48003561432668</v>
      </c>
      <c r="AJ32" s="274">
        <f>I156</f>
        <v>361.13481878427081</v>
      </c>
      <c r="AL32" s="273"/>
      <c r="AM32" s="263"/>
      <c r="AN32" s="263">
        <v>5</v>
      </c>
      <c r="AO32" s="263">
        <v>15</v>
      </c>
      <c r="AP32" s="263">
        <v>25</v>
      </c>
      <c r="AQ32" s="265">
        <v>35</v>
      </c>
    </row>
    <row r="33" spans="1:43">
      <c r="A33" s="259">
        <v>25</v>
      </c>
      <c r="B33" s="260">
        <v>1</v>
      </c>
      <c r="C33" s="260" t="s">
        <v>214</v>
      </c>
      <c r="D33" s="262">
        <v>6</v>
      </c>
      <c r="E33" s="263">
        <v>9908</v>
      </c>
      <c r="F33" s="264">
        <v>10299.942003009493</v>
      </c>
      <c r="G33" s="264">
        <v>242.16964935922147</v>
      </c>
      <c r="H33" s="264">
        <v>2772.6296467018569</v>
      </c>
      <c r="I33" s="264">
        <v>8.8856089637733326</v>
      </c>
      <c r="J33" s="263"/>
      <c r="K33" s="265"/>
      <c r="N33" s="253">
        <v>35</v>
      </c>
      <c r="O33" s="254">
        <v>0</v>
      </c>
      <c r="P33" s="255" t="s">
        <v>213</v>
      </c>
      <c r="Q33" s="256">
        <f>F17</f>
        <v>12074.196904559745</v>
      </c>
      <c r="R33" s="256">
        <f>F57</f>
        <v>85916.002653546282</v>
      </c>
      <c r="S33" s="256">
        <f>F97</f>
        <v>5943002.832265934</v>
      </c>
      <c r="T33" s="256">
        <f>F137</f>
        <v>3514626.2704067081</v>
      </c>
      <c r="Z33" s="253">
        <v>35</v>
      </c>
      <c r="AA33" s="254">
        <v>0</v>
      </c>
      <c r="AB33" s="255" t="s">
        <v>213</v>
      </c>
      <c r="AC33" s="256">
        <f>H17</f>
        <v>2952.3398995253629</v>
      </c>
      <c r="AD33" s="256">
        <f>H57</f>
        <v>9546.333103322846</v>
      </c>
      <c r="AE33" s="256">
        <f>H97</f>
        <v>711671.49199743918</v>
      </c>
      <c r="AF33" s="256">
        <f>H137</f>
        <v>721460.59255254723</v>
      </c>
      <c r="AG33" s="269">
        <f>I17</f>
        <v>200.37998024301581</v>
      </c>
      <c r="AH33" s="256">
        <f>I57</f>
        <v>119.86023447029193</v>
      </c>
      <c r="AI33" s="256">
        <f>I97</f>
        <v>106338.4290738761</v>
      </c>
      <c r="AJ33" s="258">
        <f>I137</f>
        <v>13343.529589227866</v>
      </c>
      <c r="AL33" s="451" t="s">
        <v>1095</v>
      </c>
      <c r="AM33" s="265">
        <v>0</v>
      </c>
      <c r="AN33" s="269">
        <f>K122</f>
        <v>-15.084667272128305</v>
      </c>
      <c r="AO33" s="256">
        <f>K127</f>
        <v>-11.781150524997408</v>
      </c>
      <c r="AP33" s="256">
        <f>K132</f>
        <v>-13.816546287400644</v>
      </c>
      <c r="AQ33" s="258">
        <f>K137</f>
        <v>-19.626993942728518</v>
      </c>
    </row>
    <row r="34" spans="1:43">
      <c r="A34" s="259">
        <v>25</v>
      </c>
      <c r="B34" s="260">
        <v>5</v>
      </c>
      <c r="C34" s="260" t="s">
        <v>214</v>
      </c>
      <c r="D34" s="262">
        <v>6</v>
      </c>
      <c r="E34" s="263">
        <v>26108</v>
      </c>
      <c r="F34" s="264">
        <v>9298.110266892787</v>
      </c>
      <c r="G34" s="264">
        <v>29.500777716662896</v>
      </c>
      <c r="H34" s="264">
        <v>2487.3309820626428</v>
      </c>
      <c r="I34" s="264">
        <v>118.17191814186442</v>
      </c>
      <c r="J34" s="263"/>
      <c r="K34" s="265"/>
      <c r="N34" s="259"/>
      <c r="O34" s="260"/>
      <c r="P34" s="262" t="s">
        <v>214</v>
      </c>
      <c r="Q34" s="263">
        <f>F37</f>
        <v>9671.6238628152478</v>
      </c>
      <c r="R34" s="263">
        <f>F77</f>
        <v>14522.952922557648</v>
      </c>
      <c r="S34" s="263">
        <f>F117</f>
        <v>129737.00993003699</v>
      </c>
      <c r="T34" s="263">
        <f>F157</f>
        <v>111205.65026922099</v>
      </c>
      <c r="Z34" s="259"/>
      <c r="AA34" s="260"/>
      <c r="AB34" s="262" t="s">
        <v>214</v>
      </c>
      <c r="AC34" s="263">
        <f>H37</f>
        <v>2586.0367094628277</v>
      </c>
      <c r="AD34" s="263">
        <f>H77</f>
        <v>3483.2629797143459</v>
      </c>
      <c r="AE34" s="263">
        <f>H117</f>
        <v>119838.73885578997</v>
      </c>
      <c r="AF34" s="263">
        <f>H157</f>
        <v>306918.99895130767</v>
      </c>
      <c r="AG34" s="273">
        <f>I37</f>
        <v>57.891463503357322</v>
      </c>
      <c r="AH34" s="263">
        <f>I77</f>
        <v>120.94943487126733</v>
      </c>
      <c r="AI34" s="263">
        <f>I117</f>
        <v>18175.011722801857</v>
      </c>
      <c r="AJ34" s="265">
        <f>I157</f>
        <v>19847.264529497577</v>
      </c>
      <c r="AL34" s="452"/>
      <c r="AM34" s="265">
        <v>1</v>
      </c>
      <c r="AN34" s="273">
        <f t="shared" ref="AN34:AN37" si="2">K123</f>
        <v>-4.3152828762561768</v>
      </c>
      <c r="AO34" s="263">
        <f>K128</f>
        <v>-4.3160977221447148</v>
      </c>
      <c r="AP34" s="263">
        <f>K133</f>
        <v>-4.4190892093786136</v>
      </c>
      <c r="AQ34" s="265">
        <f>K138</f>
        <v>-5.3657884488582317</v>
      </c>
    </row>
    <row r="35" spans="1:43">
      <c r="A35" s="259">
        <v>25</v>
      </c>
      <c r="B35" s="260">
        <v>10</v>
      </c>
      <c r="C35" s="260" t="s">
        <v>214</v>
      </c>
      <c r="D35" s="262">
        <v>6</v>
      </c>
      <c r="E35" s="263">
        <v>24961</v>
      </c>
      <c r="F35" s="264">
        <v>9214.4981142501128</v>
      </c>
      <c r="G35" s="264">
        <v>131.91907950133671</v>
      </c>
      <c r="H35" s="264">
        <v>2479.6639229473799</v>
      </c>
      <c r="I35" s="264">
        <v>104.23223039832627</v>
      </c>
      <c r="J35" s="263"/>
      <c r="K35" s="265"/>
      <c r="N35" s="259"/>
      <c r="O35" s="260">
        <v>1</v>
      </c>
      <c r="P35" s="262" t="s">
        <v>213</v>
      </c>
      <c r="Q35" s="263">
        <f>F18</f>
        <v>10941.818748388574</v>
      </c>
      <c r="R35" s="263">
        <f>F58</f>
        <v>42829.796408749949</v>
      </c>
      <c r="S35" s="263">
        <f>F98</f>
        <v>7191506.7640839573</v>
      </c>
      <c r="T35" s="263">
        <f>F138</f>
        <v>3876499.6576668969</v>
      </c>
      <c r="Z35" s="259"/>
      <c r="AA35" s="260">
        <v>1</v>
      </c>
      <c r="AB35" s="262" t="s">
        <v>213</v>
      </c>
      <c r="AC35" s="263">
        <f>H18</f>
        <v>2747.6341753044194</v>
      </c>
      <c r="AD35" s="263">
        <f>H58</f>
        <v>5938.1233955565076</v>
      </c>
      <c r="AE35" s="263">
        <f>H98</f>
        <v>666989.44508554437</v>
      </c>
      <c r="AF35" s="263">
        <f>H138</f>
        <v>588498.31159746042</v>
      </c>
      <c r="AG35" s="273">
        <f>I18</f>
        <v>68.556103325196034</v>
      </c>
      <c r="AH35" s="263">
        <f>I58</f>
        <v>602.31693026186838</v>
      </c>
      <c r="AI35" s="263">
        <f>I98</f>
        <v>80774.342327137594</v>
      </c>
      <c r="AJ35" s="265">
        <f>I138</f>
        <v>43880.187020430487</v>
      </c>
      <c r="AL35" s="452"/>
      <c r="AM35" s="265">
        <v>5</v>
      </c>
      <c r="AN35" s="273">
        <f t="shared" si="2"/>
        <v>-7.3686235931285573</v>
      </c>
      <c r="AO35" s="263">
        <f>K129</f>
        <v>-4.1539053013076996</v>
      </c>
      <c r="AP35" s="263">
        <f>K134</f>
        <v>-3.0697760119160495</v>
      </c>
      <c r="AQ35" s="265">
        <f>K139</f>
        <v>-2.4630805339759703</v>
      </c>
    </row>
    <row r="36" spans="1:43">
      <c r="A36" s="259">
        <v>25</v>
      </c>
      <c r="B36" s="260">
        <v>20</v>
      </c>
      <c r="C36" s="260" t="s">
        <v>214</v>
      </c>
      <c r="D36" s="262">
        <v>6</v>
      </c>
      <c r="E36" s="263">
        <v>17286</v>
      </c>
      <c r="F36" s="264">
        <v>9432.4578342832501</v>
      </c>
      <c r="G36" s="264">
        <v>334.65838035833599</v>
      </c>
      <c r="H36" s="264">
        <v>2536.9561852472557</v>
      </c>
      <c r="I36" s="264">
        <v>16.137670770545416</v>
      </c>
      <c r="J36" s="263"/>
      <c r="K36" s="265"/>
      <c r="N36" s="259"/>
      <c r="O36" s="260"/>
      <c r="P36" s="262" t="s">
        <v>214</v>
      </c>
      <c r="Q36" s="263">
        <f>F38</f>
        <v>9374.777822636679</v>
      </c>
      <c r="R36" s="263">
        <f>F78</f>
        <v>14615.522701313441</v>
      </c>
      <c r="S36" s="263">
        <f>F118</f>
        <v>154145.56674603422</v>
      </c>
      <c r="T36" s="263">
        <f>F158</f>
        <v>138309.24667461417</v>
      </c>
      <c r="Z36" s="259"/>
      <c r="AA36" s="260"/>
      <c r="AB36" s="262" t="s">
        <v>214</v>
      </c>
      <c r="AC36" s="263">
        <f>H38</f>
        <v>2487.418485128459</v>
      </c>
      <c r="AD36" s="263">
        <f>H78</f>
        <v>3064.689818088847</v>
      </c>
      <c r="AE36" s="263">
        <f>H118</f>
        <v>8786.3039507673257</v>
      </c>
      <c r="AF36" s="263">
        <f>H158</f>
        <v>12505.658518601889</v>
      </c>
      <c r="AG36" s="273">
        <f>I38</f>
        <v>32.783796210765125</v>
      </c>
      <c r="AH36" s="263">
        <f>I78</f>
        <v>84.089986588755806</v>
      </c>
      <c r="AI36" s="263">
        <f>I118</f>
        <v>698.9333221079969</v>
      </c>
      <c r="AJ36" s="265">
        <f>I158</f>
        <v>657.87940408946076</v>
      </c>
      <c r="AL36" s="452"/>
      <c r="AM36" s="265">
        <v>10</v>
      </c>
      <c r="AN36" s="273">
        <f t="shared" si="2"/>
        <v>-9.0350154289946936</v>
      </c>
      <c r="AO36" s="263">
        <f>K130</f>
        <v>-5.9522966692133572</v>
      </c>
      <c r="AP36" s="263">
        <f>K135</f>
        <v>-3.6604401580651724</v>
      </c>
      <c r="AQ36" s="265">
        <f>K140</f>
        <v>-2.9033709785293214</v>
      </c>
    </row>
    <row r="37" spans="1:43" ht="17" thickBot="1">
      <c r="A37" s="259">
        <v>35</v>
      </c>
      <c r="B37" s="260">
        <v>0</v>
      </c>
      <c r="C37" s="260" t="s">
        <v>214</v>
      </c>
      <c r="D37" s="262">
        <v>6</v>
      </c>
      <c r="E37" s="263">
        <v>10842</v>
      </c>
      <c r="F37" s="264">
        <v>9671.6238628152478</v>
      </c>
      <c r="G37" s="264">
        <v>423.74633898069652</v>
      </c>
      <c r="H37" s="264">
        <v>2586.0367094628277</v>
      </c>
      <c r="I37" s="264">
        <v>57.891463503357322</v>
      </c>
      <c r="J37" s="263"/>
      <c r="K37" s="265"/>
      <c r="N37" s="259"/>
      <c r="O37" s="260">
        <v>5</v>
      </c>
      <c r="P37" s="262" t="s">
        <v>213</v>
      </c>
      <c r="Q37" s="263">
        <f>F19</f>
        <v>10951.568332210089</v>
      </c>
      <c r="R37" s="263">
        <f>F59</f>
        <v>50452.499064793818</v>
      </c>
      <c r="S37" s="263">
        <f>F99</f>
        <v>8205383.9604130676</v>
      </c>
      <c r="T37" s="263">
        <f>F139</f>
        <v>7061579.3021522416</v>
      </c>
      <c r="Z37" s="259"/>
      <c r="AA37" s="260">
        <v>5</v>
      </c>
      <c r="AB37" s="262" t="s">
        <v>213</v>
      </c>
      <c r="AC37" s="263">
        <f>H19</f>
        <v>2785.4578618951537</v>
      </c>
      <c r="AD37" s="263">
        <f>H59</f>
        <v>5328.8900607416363</v>
      </c>
      <c r="AE37" s="263">
        <f>H99</f>
        <v>452974.17182967946</v>
      </c>
      <c r="AF37" s="263">
        <f>H139</f>
        <v>722538.17859353404</v>
      </c>
      <c r="AG37" s="273">
        <f>I19</f>
        <v>146.95842791674173</v>
      </c>
      <c r="AH37" s="263">
        <f>I59</f>
        <v>351.32755447532878</v>
      </c>
      <c r="AI37" s="263">
        <f>I99</f>
        <v>30929.856286321577</v>
      </c>
      <c r="AJ37" s="265">
        <f>I139</f>
        <v>51555.382329058913</v>
      </c>
      <c r="AL37" s="453"/>
      <c r="AM37" s="274">
        <v>20</v>
      </c>
      <c r="AN37" s="275">
        <f t="shared" si="2"/>
        <v>-10.773445919765162</v>
      </c>
      <c r="AO37" s="276">
        <f>K131</f>
        <v>-7.3491254789476663</v>
      </c>
      <c r="AP37" s="276">
        <f>K136</f>
        <v>-4.5245219604525158</v>
      </c>
      <c r="AQ37" s="274">
        <f>K141</f>
        <v>-4.6060109073204396</v>
      </c>
    </row>
    <row r="38" spans="1:43">
      <c r="A38" s="259">
        <v>35</v>
      </c>
      <c r="B38" s="260">
        <v>1</v>
      </c>
      <c r="C38" s="260" t="s">
        <v>214</v>
      </c>
      <c r="D38" s="262">
        <v>6</v>
      </c>
      <c r="E38" s="263">
        <v>16949</v>
      </c>
      <c r="F38" s="264">
        <v>9374.777822636679</v>
      </c>
      <c r="G38" s="264">
        <v>56.05060500580376</v>
      </c>
      <c r="H38" s="264">
        <v>2487.418485128459</v>
      </c>
      <c r="I38" s="264">
        <v>32.783796210765125</v>
      </c>
      <c r="J38" s="263"/>
      <c r="K38" s="265"/>
      <c r="N38" s="259"/>
      <c r="O38" s="260"/>
      <c r="P38" s="262" t="s">
        <v>214</v>
      </c>
      <c r="Q38" s="263">
        <f>F39</f>
        <v>9797.151743463106</v>
      </c>
      <c r="R38" s="263">
        <f>F79</f>
        <v>14932.578858213265</v>
      </c>
      <c r="S38" s="263">
        <f>F119</f>
        <v>92209.893743015316</v>
      </c>
      <c r="T38" s="263">
        <f>F159</f>
        <v>118776.85238680309</v>
      </c>
      <c r="Z38" s="259"/>
      <c r="AA38" s="260"/>
      <c r="AB38" s="262" t="s">
        <v>214</v>
      </c>
      <c r="AC38" s="263">
        <f>H39</f>
        <v>2592.9120446340048</v>
      </c>
      <c r="AD38" s="263">
        <f>H79</f>
        <v>3072.9258557506309</v>
      </c>
      <c r="AE38" s="263">
        <f>H119</f>
        <v>4611.4618392484508</v>
      </c>
      <c r="AF38" s="263">
        <f>H159</f>
        <v>6852.7036974343328</v>
      </c>
      <c r="AG38" s="273">
        <f>I39</f>
        <v>94.996616295732196</v>
      </c>
      <c r="AH38" s="263">
        <f>I79</f>
        <v>121.86465641304677</v>
      </c>
      <c r="AI38" s="263">
        <f>I119</f>
        <v>796.91193399429619</v>
      </c>
      <c r="AJ38" s="265">
        <f>I159</f>
        <v>1582.6681207990111</v>
      </c>
    </row>
    <row r="39" spans="1:43" ht="17" thickBot="1">
      <c r="A39" s="259">
        <v>35</v>
      </c>
      <c r="B39" s="260">
        <v>5</v>
      </c>
      <c r="C39" s="260" t="s">
        <v>214</v>
      </c>
      <c r="D39" s="262">
        <v>6</v>
      </c>
      <c r="E39" s="263">
        <v>8255</v>
      </c>
      <c r="F39" s="264">
        <v>9797.151743463106</v>
      </c>
      <c r="G39" s="264">
        <v>65.789331450146278</v>
      </c>
      <c r="H39" s="264">
        <v>2592.9120446340048</v>
      </c>
      <c r="I39" s="264">
        <v>94.996616295732196</v>
      </c>
      <c r="J39" s="263"/>
      <c r="K39" s="265"/>
      <c r="N39" s="259"/>
      <c r="O39" s="260">
        <v>10</v>
      </c>
      <c r="P39" s="262" t="s">
        <v>213</v>
      </c>
      <c r="Q39" s="263">
        <f>F20</f>
        <v>10932.02370344755</v>
      </c>
      <c r="R39" s="263">
        <f>F60</f>
        <v>62086.811708597728</v>
      </c>
      <c r="S39" s="263">
        <f>F100</f>
        <v>9209834.9819495045</v>
      </c>
      <c r="T39" s="263">
        <f>F140</f>
        <v>7787003.5920954505</v>
      </c>
      <c r="Z39" s="259"/>
      <c r="AA39" s="260">
        <v>10</v>
      </c>
      <c r="AB39" s="262" t="s">
        <v>213</v>
      </c>
      <c r="AC39" s="263">
        <f>H20</f>
        <v>2731.7613339368227</v>
      </c>
      <c r="AD39" s="263">
        <f>H60</f>
        <v>5433.4635635118793</v>
      </c>
      <c r="AE39" s="263">
        <f>H100</f>
        <v>362243.87006932596</v>
      </c>
      <c r="AF39" s="263">
        <f>H140</f>
        <v>539294.83787015534</v>
      </c>
      <c r="AG39" s="273">
        <f>I20</f>
        <v>87.313462296228082</v>
      </c>
      <c r="AH39" s="263">
        <f>I60</f>
        <v>253.99778326244342</v>
      </c>
      <c r="AI39" s="263">
        <f>I100</f>
        <v>43511.449444116472</v>
      </c>
      <c r="AJ39" s="265">
        <f>I140</f>
        <v>8525.8134105042082</v>
      </c>
      <c r="AL39" s="190" t="s">
        <v>1099</v>
      </c>
    </row>
    <row r="40" spans="1:43">
      <c r="A40" s="259">
        <v>35</v>
      </c>
      <c r="B40" s="260">
        <v>10</v>
      </c>
      <c r="C40" s="260" t="s">
        <v>214</v>
      </c>
      <c r="D40" s="262">
        <v>6</v>
      </c>
      <c r="E40" s="263">
        <v>16456</v>
      </c>
      <c r="F40" s="264">
        <v>9806.0026028656393</v>
      </c>
      <c r="G40" s="264">
        <v>647.8825944706407</v>
      </c>
      <c r="H40" s="264">
        <v>2626.8883999452692</v>
      </c>
      <c r="I40" s="264">
        <v>110.21855905374001</v>
      </c>
      <c r="J40" s="263"/>
      <c r="K40" s="265"/>
      <c r="N40" s="259"/>
      <c r="O40" s="260"/>
      <c r="P40" s="262" t="s">
        <v>214</v>
      </c>
      <c r="Q40" s="263">
        <f>F40</f>
        <v>9806.0026028656393</v>
      </c>
      <c r="R40" s="263">
        <f>F80</f>
        <v>15621.928383863898</v>
      </c>
      <c r="S40" s="263">
        <f>F120</f>
        <v>162600.24459202815</v>
      </c>
      <c r="T40" s="263">
        <f>F160</f>
        <v>116396.18714460768</v>
      </c>
      <c r="Z40" s="259"/>
      <c r="AA40" s="260"/>
      <c r="AB40" s="262" t="s">
        <v>214</v>
      </c>
      <c r="AC40" s="263">
        <f>H40</f>
        <v>2626.8883999452692</v>
      </c>
      <c r="AD40" s="263">
        <f>H80</f>
        <v>2949.9262149636602</v>
      </c>
      <c r="AE40" s="263">
        <f>H120</f>
        <v>5305.5976360520608</v>
      </c>
      <c r="AF40" s="263">
        <f>H160</f>
        <v>6720.3083845749388</v>
      </c>
      <c r="AG40" s="273">
        <f>I40</f>
        <v>110.21855905374001</v>
      </c>
      <c r="AH40" s="263">
        <f>I80</f>
        <v>109.86272807068303</v>
      </c>
      <c r="AI40" s="263">
        <f>I120</f>
        <v>69.385967936326125</v>
      </c>
      <c r="AJ40" s="265">
        <f>I160</f>
        <v>399.35766138170072</v>
      </c>
      <c r="AL40" s="269"/>
      <c r="AM40" s="256"/>
      <c r="AN40" s="449" t="s">
        <v>1094</v>
      </c>
      <c r="AO40" s="449"/>
      <c r="AP40" s="449"/>
      <c r="AQ40" s="450"/>
    </row>
    <row r="41" spans="1:43" ht="17" thickBot="1">
      <c r="A41" s="277">
        <v>35</v>
      </c>
      <c r="B41" s="261">
        <v>20</v>
      </c>
      <c r="C41" s="261" t="s">
        <v>214</v>
      </c>
      <c r="D41" s="278">
        <v>6</v>
      </c>
      <c r="E41" s="276">
        <v>24566</v>
      </c>
      <c r="F41" s="279">
        <v>9612.6258470340817</v>
      </c>
      <c r="G41" s="279">
        <v>649.97277797508514</v>
      </c>
      <c r="H41" s="279">
        <v>2506.1940657101859</v>
      </c>
      <c r="I41" s="279">
        <v>93.003906366257155</v>
      </c>
      <c r="J41" s="276"/>
      <c r="K41" s="274"/>
      <c r="N41" s="259"/>
      <c r="O41" s="260">
        <v>20</v>
      </c>
      <c r="P41" s="262" t="s">
        <v>213</v>
      </c>
      <c r="Q41" s="263">
        <f>F21</f>
        <v>11420.238329837966</v>
      </c>
      <c r="R41" s="263">
        <f>F61</f>
        <v>51909.443253044941</v>
      </c>
      <c r="S41" s="263">
        <f>F101</f>
        <v>9460777.4272305518</v>
      </c>
      <c r="T41" s="263">
        <f>F141</f>
        <v>6752153.6242936598</v>
      </c>
      <c r="Z41" s="259"/>
      <c r="AA41" s="260">
        <v>20</v>
      </c>
      <c r="AB41" s="262" t="s">
        <v>213</v>
      </c>
      <c r="AC41" s="263">
        <f>H21</f>
        <v>2789.0415139762463</v>
      </c>
      <c r="AD41" s="263">
        <f>H61</f>
        <v>4696.5733886999169</v>
      </c>
      <c r="AE41" s="263">
        <f>H101</f>
        <v>270059.94758710527</v>
      </c>
      <c r="AF41" s="263">
        <f>H141</f>
        <v>298923.77914179023</v>
      </c>
      <c r="AG41" s="273">
        <f>I21</f>
        <v>83.826197423803734</v>
      </c>
      <c r="AH41" s="263">
        <f>I61</f>
        <v>990.3320340230465</v>
      </c>
      <c r="AI41" s="263">
        <f>I101</f>
        <v>15654.360796407547</v>
      </c>
      <c r="AJ41" s="265">
        <f>I141</f>
        <v>46247.713594343186</v>
      </c>
      <c r="AL41" s="273"/>
      <c r="AM41" s="263"/>
      <c r="AN41" s="263">
        <v>5</v>
      </c>
      <c r="AO41" s="263">
        <v>15</v>
      </c>
      <c r="AP41" s="263">
        <v>25</v>
      </c>
      <c r="AQ41" s="265">
        <v>35</v>
      </c>
    </row>
    <row r="42" spans="1:43" ht="17" thickBot="1">
      <c r="A42" s="253">
        <v>5</v>
      </c>
      <c r="B42" s="254">
        <v>0</v>
      </c>
      <c r="C42" s="254" t="s">
        <v>213</v>
      </c>
      <c r="D42" s="255">
        <v>12</v>
      </c>
      <c r="E42" s="256">
        <v>50986</v>
      </c>
      <c r="F42" s="257">
        <v>30019.235401213056</v>
      </c>
      <c r="G42" s="257">
        <v>9018.5383799726533</v>
      </c>
      <c r="H42" s="257">
        <v>4007.7378796144512</v>
      </c>
      <c r="I42" s="257">
        <v>318.86354962063177</v>
      </c>
      <c r="J42" s="256">
        <v>-19.118763900012326</v>
      </c>
      <c r="K42" s="258">
        <v>-23.300843780907684</v>
      </c>
      <c r="L42" s="190">
        <f>K42-J42</f>
        <v>-4.1820798808953583</v>
      </c>
      <c r="N42" s="277"/>
      <c r="O42" s="261"/>
      <c r="P42" s="278" t="s">
        <v>214</v>
      </c>
      <c r="Q42" s="276">
        <f>F41</f>
        <v>9612.6258470340817</v>
      </c>
      <c r="R42" s="276">
        <f>F81</f>
        <v>14896.307363076232</v>
      </c>
      <c r="S42" s="276">
        <f>F121</f>
        <v>171970.85602026721</v>
      </c>
      <c r="T42" s="276">
        <f>F161</f>
        <v>128883.4881709536</v>
      </c>
      <c r="Z42" s="277"/>
      <c r="AA42" s="261"/>
      <c r="AB42" s="278" t="s">
        <v>214</v>
      </c>
      <c r="AC42" s="276">
        <f>H41</f>
        <v>2506.1940657101859</v>
      </c>
      <c r="AD42" s="276">
        <f>H81</f>
        <v>3010.3281799115061</v>
      </c>
      <c r="AE42" s="276">
        <f>H121</f>
        <v>5309.2474143054333</v>
      </c>
      <c r="AF42" s="276">
        <f>H161</f>
        <v>7678.0824390186172</v>
      </c>
      <c r="AG42" s="275">
        <f>I41</f>
        <v>93.003906366257155</v>
      </c>
      <c r="AH42" s="276">
        <f>I81</f>
        <v>99.535677983225099</v>
      </c>
      <c r="AI42" s="276">
        <f>I121</f>
        <v>208.03747975183236</v>
      </c>
      <c r="AJ42" s="274">
        <f>I161</f>
        <v>729.53278464798871</v>
      </c>
      <c r="AL42" s="451" t="s">
        <v>1095</v>
      </c>
      <c r="AM42" s="258">
        <v>0</v>
      </c>
      <c r="AN42" s="269">
        <f>K122-J122</f>
        <v>-3.6390445773786642</v>
      </c>
      <c r="AO42" s="256">
        <f>K127-J127</f>
        <v>-7.9835618995655269</v>
      </c>
      <c r="AP42" s="256">
        <f>K132-J132</f>
        <v>-10.450109827537883</v>
      </c>
      <c r="AQ42" s="258">
        <f>K137-J137</f>
        <v>-14.790906668047965</v>
      </c>
    </row>
    <row r="43" spans="1:43" ht="17" thickBot="1">
      <c r="A43" s="259">
        <v>5</v>
      </c>
      <c r="B43" s="260">
        <v>1</v>
      </c>
      <c r="C43" s="260" t="s">
        <v>213</v>
      </c>
      <c r="D43" s="262">
        <v>12</v>
      </c>
      <c r="E43" s="263">
        <v>38952</v>
      </c>
      <c r="F43" s="264">
        <v>35961.519373155956</v>
      </c>
      <c r="G43" s="264">
        <v>2832.1163976625689</v>
      </c>
      <c r="H43" s="264">
        <v>3707.8431001409663</v>
      </c>
      <c r="I43" s="264">
        <v>68.463874816728776</v>
      </c>
      <c r="J43" s="263">
        <v>-14.483685538888407</v>
      </c>
      <c r="K43" s="265">
        <v>-22.159919751726171</v>
      </c>
      <c r="L43" s="190">
        <f t="shared" ref="L43:L101" si="3">K43-J43</f>
        <v>-7.6762342128377643</v>
      </c>
      <c r="Q43" s="263"/>
      <c r="AC43" s="263"/>
      <c r="AL43" s="452"/>
      <c r="AM43" s="265">
        <v>1</v>
      </c>
      <c r="AN43" s="273">
        <f>K123-J123</f>
        <v>-1.2816068114330004</v>
      </c>
      <c r="AO43" s="263">
        <f>K128-J128</f>
        <v>0.38335793780854122</v>
      </c>
      <c r="AP43" s="263">
        <f>K133-J133</f>
        <v>-6.914175953758317E-2</v>
      </c>
      <c r="AQ43" s="265">
        <f>K138-J138</f>
        <v>0.12362792352531482</v>
      </c>
    </row>
    <row r="44" spans="1:43" ht="15.5" customHeight="1">
      <c r="A44" s="259">
        <v>5</v>
      </c>
      <c r="B44" s="260">
        <v>5</v>
      </c>
      <c r="C44" s="260" t="s">
        <v>213</v>
      </c>
      <c r="D44" s="262">
        <v>12</v>
      </c>
      <c r="E44" s="263">
        <v>32648</v>
      </c>
      <c r="F44" s="264">
        <v>41151.218256236723</v>
      </c>
      <c r="G44" s="264">
        <v>2594.1578279981504</v>
      </c>
      <c r="H44" s="264">
        <v>3123.1400914313872</v>
      </c>
      <c r="I44" s="264">
        <v>85.445484875497371</v>
      </c>
      <c r="J44" s="263">
        <v>-13.617991849543278</v>
      </c>
      <c r="K44" s="265">
        <v>-26.801430912251092</v>
      </c>
      <c r="L44" s="190">
        <f t="shared" si="3"/>
        <v>-13.183439062707814</v>
      </c>
      <c r="Q44" s="263"/>
      <c r="T44" s="448" t="s">
        <v>1100</v>
      </c>
      <c r="U44" s="449"/>
      <c r="V44" s="449"/>
      <c r="W44" s="449"/>
      <c r="X44" s="449"/>
      <c r="Y44" s="450"/>
      <c r="AA44" s="448" t="s">
        <v>1101</v>
      </c>
      <c r="AB44" s="449"/>
      <c r="AC44" s="449"/>
      <c r="AD44" s="449"/>
      <c r="AE44" s="449"/>
      <c r="AF44" s="450"/>
      <c r="AG44" s="448" t="s">
        <v>1102</v>
      </c>
      <c r="AH44" s="449"/>
      <c r="AI44" s="449"/>
      <c r="AJ44" s="450"/>
      <c r="AL44" s="452"/>
      <c r="AM44" s="265">
        <v>5</v>
      </c>
      <c r="AN44" s="273">
        <f>K124-J124</f>
        <v>-4.4089241921528668</v>
      </c>
      <c r="AO44" s="263">
        <f>K129-J129</f>
        <v>-0.14979592962484478</v>
      </c>
      <c r="AP44" s="263">
        <f>K134-J134</f>
        <v>1.090993613133592</v>
      </c>
      <c r="AQ44" s="265">
        <f>K139-J139</f>
        <v>0.91530801243069382</v>
      </c>
    </row>
    <row r="45" spans="1:43" ht="17" thickBot="1">
      <c r="A45" s="259">
        <v>5</v>
      </c>
      <c r="B45" s="260">
        <v>10</v>
      </c>
      <c r="C45" s="260" t="s">
        <v>213</v>
      </c>
      <c r="D45" s="262">
        <v>12</v>
      </c>
      <c r="E45" s="263">
        <v>22529</v>
      </c>
      <c r="F45" s="264">
        <v>48411.355129365642</v>
      </c>
      <c r="G45" s="264">
        <v>184.05462347082801</v>
      </c>
      <c r="H45" s="264">
        <v>3024.3078192711955</v>
      </c>
      <c r="I45" s="264">
        <v>35.151124009497288</v>
      </c>
      <c r="J45" s="263">
        <v>-12.965408381085449</v>
      </c>
      <c r="K45" s="265">
        <v>-30.12199142816965</v>
      </c>
      <c r="L45" s="190">
        <f t="shared" si="3"/>
        <v>-17.156583047084201</v>
      </c>
      <c r="Q45" s="263"/>
      <c r="T45" s="259" t="s">
        <v>420</v>
      </c>
      <c r="U45" s="260" t="s">
        <v>421</v>
      </c>
      <c r="V45" s="260">
        <v>6</v>
      </c>
      <c r="W45" s="260">
        <v>12</v>
      </c>
      <c r="X45" s="260">
        <v>48</v>
      </c>
      <c r="Y45" s="262">
        <v>96</v>
      </c>
      <c r="AA45" s="259" t="s">
        <v>420</v>
      </c>
      <c r="AB45" s="260" t="s">
        <v>421</v>
      </c>
      <c r="AC45" s="260">
        <v>6</v>
      </c>
      <c r="AD45" s="260">
        <v>12</v>
      </c>
      <c r="AE45" s="260">
        <v>48</v>
      </c>
      <c r="AF45" s="262">
        <v>96</v>
      </c>
      <c r="AG45" s="273">
        <v>6</v>
      </c>
      <c r="AH45" s="263">
        <v>12</v>
      </c>
      <c r="AI45" s="263">
        <v>48</v>
      </c>
      <c r="AJ45" s="265">
        <v>96</v>
      </c>
      <c r="AL45" s="452"/>
      <c r="AM45" s="265">
        <v>10</v>
      </c>
      <c r="AN45" s="273">
        <f>K125-J125</f>
        <v>-5.9484344616196347</v>
      </c>
      <c r="AO45" s="263">
        <f>K135-J135</f>
        <v>-8.13412421048616E-2</v>
      </c>
      <c r="AP45" s="263">
        <f>K135-J135</f>
        <v>-8.13412421048616E-2</v>
      </c>
      <c r="AQ45" s="265">
        <f>K140-J140</f>
        <v>0.13836635399270669</v>
      </c>
    </row>
    <row r="46" spans="1:43" ht="17" thickBot="1">
      <c r="A46" s="259">
        <v>5</v>
      </c>
      <c r="B46" s="260">
        <v>20</v>
      </c>
      <c r="C46" s="260" t="s">
        <v>213</v>
      </c>
      <c r="D46" s="262">
        <v>12</v>
      </c>
      <c r="E46" s="263">
        <v>25037</v>
      </c>
      <c r="F46" s="264">
        <v>51867.349624443057</v>
      </c>
      <c r="G46" s="264">
        <v>6813.6043004018466</v>
      </c>
      <c r="H46" s="264">
        <v>3291.6653022892547</v>
      </c>
      <c r="I46" s="264">
        <v>551.79543323286032</v>
      </c>
      <c r="J46" s="263">
        <v>-11.214880045819919</v>
      </c>
      <c r="K46" s="265">
        <v>-23.755429826199439</v>
      </c>
      <c r="L46" s="190">
        <f t="shared" si="3"/>
        <v>-12.54054978037952</v>
      </c>
      <c r="Q46" s="263"/>
      <c r="T46" s="446">
        <v>5</v>
      </c>
      <c r="U46" s="255">
        <v>0</v>
      </c>
      <c r="V46" s="254">
        <f t="shared" ref="V46:V65" si="4">IF(K2&lt;-20,-20,K2)</f>
        <v>-20</v>
      </c>
      <c r="W46" s="256">
        <f t="shared" ref="W46:W65" si="5">IF(K42&lt;-20,-20,K42)</f>
        <v>-20</v>
      </c>
      <c r="X46" s="256">
        <f t="shared" ref="X46:X65" si="6">IF(K82&lt;-20,-20,K82)</f>
        <v>-6.0666576789874727</v>
      </c>
      <c r="Y46" s="258">
        <f t="shared" ref="Y46:Y65" si="7">IF(K122&lt;-20,-20,K122)</f>
        <v>-15.084667272128305</v>
      </c>
      <c r="AA46" s="446">
        <v>5</v>
      </c>
      <c r="AB46" s="255">
        <v>0</v>
      </c>
      <c r="AC46" s="256">
        <f>AC3/AC4</f>
        <v>0.98877546401402205</v>
      </c>
      <c r="AD46" s="256">
        <f>AD3/AD4</f>
        <v>1.3451187505617934</v>
      </c>
      <c r="AE46" s="256">
        <f>AE3/AE4</f>
        <v>27.995227250442962</v>
      </c>
      <c r="AF46" s="258">
        <f>AF3/AF4</f>
        <v>4.2107447889640115</v>
      </c>
      <c r="AG46" s="256">
        <f>AC4/$AC4</f>
        <v>1</v>
      </c>
      <c r="AH46" s="256">
        <f>AD4/$AC4</f>
        <v>1.1171251199559638</v>
      </c>
      <c r="AI46" s="256">
        <f>AE4/$AC4</f>
        <v>5.6555178123044136</v>
      </c>
      <c r="AJ46" s="258">
        <f>AF4/$AC4</f>
        <v>14.296987027807221</v>
      </c>
      <c r="AL46" s="453"/>
      <c r="AM46" s="274">
        <v>20</v>
      </c>
      <c r="AN46" s="275">
        <f>K126-J126</f>
        <v>-8.1979644943036902</v>
      </c>
      <c r="AO46" s="276">
        <f>K131-J131</f>
        <v>-3.3933764911903559</v>
      </c>
      <c r="AP46" s="276">
        <f>K136-J136</f>
        <v>-1.4144648238189581</v>
      </c>
      <c r="AQ46" s="274">
        <f>K141-J141</f>
        <v>-0.81860219784629518</v>
      </c>
    </row>
    <row r="47" spans="1:43" ht="15.5" customHeight="1">
      <c r="A47" s="259">
        <v>15</v>
      </c>
      <c r="B47" s="260">
        <v>0</v>
      </c>
      <c r="C47" s="260" t="s">
        <v>213</v>
      </c>
      <c r="D47" s="262">
        <v>12</v>
      </c>
      <c r="E47" s="263">
        <v>21330</v>
      </c>
      <c r="F47" s="264">
        <v>58197.124959089648</v>
      </c>
      <c r="G47" s="264">
        <v>2550.5646110374855</v>
      </c>
      <c r="H47" s="264">
        <v>6209.2766326425117</v>
      </c>
      <c r="I47" s="264">
        <v>107.42266183141372</v>
      </c>
      <c r="J47" s="263">
        <v>-10.545540986281484</v>
      </c>
      <c r="K47" s="265">
        <v>-14.590563912036334</v>
      </c>
      <c r="L47" s="190">
        <f t="shared" si="3"/>
        <v>-4.04502292575485</v>
      </c>
      <c r="T47" s="443"/>
      <c r="U47" s="262">
        <v>1</v>
      </c>
      <c r="V47" s="260">
        <f t="shared" si="4"/>
        <v>-20</v>
      </c>
      <c r="W47" s="263">
        <f t="shared" si="5"/>
        <v>-20</v>
      </c>
      <c r="X47" s="263">
        <f t="shared" si="6"/>
        <v>-3.9715893467131669</v>
      </c>
      <c r="Y47" s="265">
        <f t="shared" si="7"/>
        <v>-4.3152828762561768</v>
      </c>
      <c r="AA47" s="443"/>
      <c r="AB47" s="262">
        <v>1</v>
      </c>
      <c r="AC47" s="263">
        <f>AC5/AC6</f>
        <v>0.94003671220445251</v>
      </c>
      <c r="AD47" s="263">
        <f>AD5/AD6</f>
        <v>1.3853134939716936</v>
      </c>
      <c r="AE47" s="263">
        <f>AE5/AE6</f>
        <v>42.95153364539825</v>
      </c>
      <c r="AF47" s="265">
        <f>AF5/AF6</f>
        <v>51.592942781353585</v>
      </c>
      <c r="AG47" s="263">
        <f>AC6/$AC6</f>
        <v>1</v>
      </c>
      <c r="AH47" s="263">
        <f>AD6/$AC6</f>
        <v>0.99296118540778844</v>
      </c>
      <c r="AI47" s="263">
        <f>AE6/$AC6</f>
        <v>2.0554627081902344</v>
      </c>
      <c r="AJ47" s="265">
        <f>AF6/$AC6</f>
        <v>2.5454166684836097</v>
      </c>
      <c r="AL47" s="190" t="s">
        <v>1103</v>
      </c>
    </row>
    <row r="48" spans="1:43" ht="15.5" customHeight="1">
      <c r="A48" s="259">
        <v>15</v>
      </c>
      <c r="B48" s="260">
        <v>1</v>
      </c>
      <c r="C48" s="260" t="s">
        <v>213</v>
      </c>
      <c r="D48" s="262">
        <v>12</v>
      </c>
      <c r="E48" s="263">
        <v>24290</v>
      </c>
      <c r="F48" s="264">
        <v>63975.157743321834</v>
      </c>
      <c r="G48" s="264">
        <v>4876.4291710529642</v>
      </c>
      <c r="H48" s="264">
        <v>6137.7364583638873</v>
      </c>
      <c r="I48" s="264">
        <v>233.0575908865514</v>
      </c>
      <c r="J48" s="263">
        <v>-10.615836127036902</v>
      </c>
      <c r="K48" s="265">
        <v>-14.206040269206621</v>
      </c>
      <c r="L48" s="190">
        <f t="shared" si="3"/>
        <v>-3.5902041421697195</v>
      </c>
      <c r="T48" s="443"/>
      <c r="U48" s="262">
        <v>5</v>
      </c>
      <c r="V48" s="260">
        <f t="shared" si="4"/>
        <v>-20</v>
      </c>
      <c r="W48" s="263">
        <f t="shared" si="5"/>
        <v>-20</v>
      </c>
      <c r="X48" s="263">
        <f t="shared" si="6"/>
        <v>-6.5229701550829011</v>
      </c>
      <c r="Y48" s="265">
        <f t="shared" si="7"/>
        <v>-7.3686235931285573</v>
      </c>
      <c r="AA48" s="443"/>
      <c r="AB48" s="262">
        <v>5</v>
      </c>
      <c r="AC48" s="263">
        <f>AC7/AC8</f>
        <v>0.91176960768714321</v>
      </c>
      <c r="AD48" s="263">
        <f>AD7/AD8</f>
        <v>1.2008758910224826</v>
      </c>
      <c r="AE48" s="263">
        <f>AE7/AE8</f>
        <v>14.255248111333351</v>
      </c>
      <c r="AF48" s="265">
        <f>AF7/AF8</f>
        <v>13.383207508700893</v>
      </c>
      <c r="AG48" s="263">
        <f>AC8/$AC8</f>
        <v>1</v>
      </c>
      <c r="AH48" s="263">
        <f>AD8/$AC8</f>
        <v>0.90858044018069561</v>
      </c>
      <c r="AI48" s="263">
        <f>AE8/$AC8</f>
        <v>1.8204050078922303</v>
      </c>
      <c r="AJ48" s="265">
        <f>AF8/$AC8</f>
        <v>2.6289763553743684</v>
      </c>
      <c r="AL48" s="280"/>
    </row>
    <row r="49" spans="1:45" ht="15.5" customHeight="1">
      <c r="A49" s="259">
        <v>15</v>
      </c>
      <c r="B49" s="260">
        <v>5</v>
      </c>
      <c r="C49" s="260" t="s">
        <v>213</v>
      </c>
      <c r="D49" s="262">
        <v>12</v>
      </c>
      <c r="E49" s="263">
        <v>23617</v>
      </c>
      <c r="F49" s="264">
        <v>68045.440653417929</v>
      </c>
      <c r="G49" s="264">
        <v>10026.975877769677</v>
      </c>
      <c r="H49" s="264">
        <v>5340.469550964699</v>
      </c>
      <c r="I49" s="264">
        <v>577.18489737566074</v>
      </c>
      <c r="J49" s="263">
        <v>-10.290962028361214</v>
      </c>
      <c r="K49" s="265">
        <v>-15.389447338834863</v>
      </c>
      <c r="L49" s="190">
        <f t="shared" si="3"/>
        <v>-5.0984853104736487</v>
      </c>
      <c r="T49" s="443"/>
      <c r="U49" s="262">
        <v>10</v>
      </c>
      <c r="V49" s="260">
        <f t="shared" si="4"/>
        <v>-20</v>
      </c>
      <c r="W49" s="263">
        <f t="shared" si="5"/>
        <v>-20</v>
      </c>
      <c r="X49" s="263">
        <f t="shared" si="6"/>
        <v>-7.8818091129364305</v>
      </c>
      <c r="Y49" s="265">
        <f t="shared" si="7"/>
        <v>-9.0350154289946936</v>
      </c>
      <c r="AA49" s="443"/>
      <c r="AB49" s="262">
        <v>10</v>
      </c>
      <c r="AC49" s="263">
        <f>AC9/AC10</f>
        <v>0.94467322792895503</v>
      </c>
      <c r="AD49" s="263">
        <f>AD9/AD10</f>
        <v>1.1318660893204748</v>
      </c>
      <c r="AE49" s="263">
        <f>AE9/AE10</f>
        <v>8.6525636630894152</v>
      </c>
      <c r="AF49" s="265">
        <f>AF9/AF10</f>
        <v>7.8735205203485288</v>
      </c>
      <c r="AG49" s="263">
        <f>AC10/$AC10</f>
        <v>1</v>
      </c>
      <c r="AH49" s="263">
        <f>AD10/$AC10</f>
        <v>0.96873696221686711</v>
      </c>
      <c r="AI49" s="263">
        <f>AE10/$AC10</f>
        <v>1.7376665626553971</v>
      </c>
      <c r="AJ49" s="265">
        <f>AF10/$AC10</f>
        <v>2.4959887572119097</v>
      </c>
      <c r="AL49" s="280"/>
    </row>
    <row r="50" spans="1:45" ht="16.25" customHeight="1" thickBot="1">
      <c r="A50" s="259">
        <v>15</v>
      </c>
      <c r="B50" s="260">
        <v>10</v>
      </c>
      <c r="C50" s="260" t="s">
        <v>213</v>
      </c>
      <c r="D50" s="262">
        <v>12</v>
      </c>
      <c r="E50" s="263">
        <v>47252</v>
      </c>
      <c r="F50" s="264">
        <v>41607.925076400992</v>
      </c>
      <c r="G50" s="264">
        <v>1451.2978439007845</v>
      </c>
      <c r="H50" s="264">
        <v>3604.9479525870411</v>
      </c>
      <c r="I50" s="264">
        <v>115.0458710804137</v>
      </c>
      <c r="J50" s="263">
        <v>-13.305965886941438</v>
      </c>
      <c r="K50" s="265">
        <v>-22.434121714466908</v>
      </c>
      <c r="L50" s="190">
        <f t="shared" si="3"/>
        <v>-9.1281558275254699</v>
      </c>
      <c r="T50" s="445"/>
      <c r="U50" s="278">
        <v>20</v>
      </c>
      <c r="V50" s="261">
        <f t="shared" si="4"/>
        <v>-20</v>
      </c>
      <c r="W50" s="276">
        <f t="shared" si="5"/>
        <v>-20</v>
      </c>
      <c r="X50" s="276">
        <f t="shared" si="6"/>
        <v>-13.658384375239844</v>
      </c>
      <c r="Y50" s="274">
        <f t="shared" si="7"/>
        <v>-10.773445919765162</v>
      </c>
      <c r="AA50" s="445"/>
      <c r="AB50" s="278">
        <v>20</v>
      </c>
      <c r="AC50" s="276">
        <f>AC11/AC12</f>
        <v>1.0069224822242964</v>
      </c>
      <c r="AD50" s="276">
        <f>AD11/AD12</f>
        <v>1.2917254834536955</v>
      </c>
      <c r="AE50" s="276">
        <f>AE11/AE12</f>
        <v>2.6698749101486734</v>
      </c>
      <c r="AF50" s="274">
        <f>AF11/AF12</f>
        <v>5.0706816515468258</v>
      </c>
      <c r="AG50" s="276">
        <f>AC12/$AC12</f>
        <v>1</v>
      </c>
      <c r="AH50" s="276">
        <f>AD12/$AC12</f>
        <v>0.97360365373560864</v>
      </c>
      <c r="AI50" s="276">
        <f>AE12/$AC12</f>
        <v>1.7325320099780879</v>
      </c>
      <c r="AJ50" s="274">
        <f>AF12/$AC12</f>
        <v>2.3747293828504761</v>
      </c>
      <c r="AL50" s="280"/>
    </row>
    <row r="51" spans="1:45">
      <c r="A51" s="259">
        <v>15</v>
      </c>
      <c r="B51" s="260">
        <v>20</v>
      </c>
      <c r="C51" s="260" t="s">
        <v>213</v>
      </c>
      <c r="D51" s="262">
        <v>12</v>
      </c>
      <c r="E51" s="263">
        <v>50907</v>
      </c>
      <c r="F51" s="264">
        <v>48196.683840304308</v>
      </c>
      <c r="G51" s="264">
        <v>6018.9470175275264</v>
      </c>
      <c r="H51" s="264">
        <v>3508.0546844473652</v>
      </c>
      <c r="I51" s="264">
        <v>170.29840399002327</v>
      </c>
      <c r="J51" s="263">
        <v>-12.760812862597742</v>
      </c>
      <c r="K51" s="265">
        <v>-22.778856150523602</v>
      </c>
      <c r="L51" s="190">
        <f t="shared" si="3"/>
        <v>-10.01804328792586</v>
      </c>
      <c r="T51" s="446">
        <v>15</v>
      </c>
      <c r="U51" s="255">
        <v>0</v>
      </c>
      <c r="V51" s="254">
        <f t="shared" si="4"/>
        <v>-20</v>
      </c>
      <c r="W51" s="256">
        <f t="shared" si="5"/>
        <v>-14.590563912036334</v>
      </c>
      <c r="X51" s="256">
        <f t="shared" si="6"/>
        <v>-8.2767471413178484</v>
      </c>
      <c r="Y51" s="258">
        <f t="shared" si="7"/>
        <v>-11.781150524997408</v>
      </c>
      <c r="AA51" s="446">
        <v>15</v>
      </c>
      <c r="AB51" s="255">
        <v>0</v>
      </c>
      <c r="AC51" s="256">
        <f>AC13/AC14</f>
        <v>1.0319444836120737</v>
      </c>
      <c r="AD51" s="256">
        <f>AD13/AD14</f>
        <v>2.3367108579715237</v>
      </c>
      <c r="AE51" s="256">
        <f>AE13/AE14</f>
        <v>15.876980783049735</v>
      </c>
      <c r="AF51" s="258">
        <f>AF13/AF14</f>
        <v>8.2045938567499448</v>
      </c>
      <c r="AG51" s="256">
        <f>AC14/$AC14</f>
        <v>1</v>
      </c>
      <c r="AH51" s="256">
        <f>AD14/$AC14</f>
        <v>0.99221858917462891</v>
      </c>
      <c r="AI51" s="256">
        <f>AE14/$AC14</f>
        <v>18.756228036145433</v>
      </c>
      <c r="AJ51" s="258">
        <f>AF14/$AC14</f>
        <v>35.10952082185571</v>
      </c>
      <c r="AL51" s="280"/>
    </row>
    <row r="52" spans="1:45">
      <c r="A52" s="259">
        <v>25</v>
      </c>
      <c r="B52" s="260">
        <v>0</v>
      </c>
      <c r="C52" s="260" t="s">
        <v>213</v>
      </c>
      <c r="D52" s="262">
        <v>12</v>
      </c>
      <c r="E52" s="263">
        <v>18054</v>
      </c>
      <c r="F52" s="264">
        <v>23563.605756937883</v>
      </c>
      <c r="G52" s="264">
        <v>80252.406655444836</v>
      </c>
      <c r="H52" s="264">
        <v>4905.3338735317748</v>
      </c>
      <c r="I52" s="264">
        <v>4056.1560706664354</v>
      </c>
      <c r="J52" s="263">
        <v>-18.552092967558373</v>
      </c>
      <c r="K52" s="265">
        <v>-18.725443235287948</v>
      </c>
      <c r="L52" s="190">
        <f t="shared" si="3"/>
        <v>-0.17335026772957463</v>
      </c>
      <c r="T52" s="443"/>
      <c r="U52" s="262">
        <v>1</v>
      </c>
      <c r="V52" s="260">
        <f t="shared" si="4"/>
        <v>-20</v>
      </c>
      <c r="W52" s="263">
        <f t="shared" si="5"/>
        <v>-14.206040269206621</v>
      </c>
      <c r="X52" s="263">
        <f t="shared" si="6"/>
        <v>-2.1289904262357617</v>
      </c>
      <c r="Y52" s="265">
        <f t="shared" si="7"/>
        <v>-4.3160977221447148</v>
      </c>
      <c r="AA52" s="443"/>
      <c r="AB52" s="262">
        <v>1</v>
      </c>
      <c r="AC52" s="263">
        <f>AC15/AC16</f>
        <v>1.0447094304665192</v>
      </c>
      <c r="AD52" s="263">
        <f>AD15/AD16</f>
        <v>2.3991619905537509</v>
      </c>
      <c r="AE52" s="263">
        <f>AE15/AE16</f>
        <v>106.75059258600866</v>
      </c>
      <c r="AF52" s="265">
        <f>AF15/AF16</f>
        <v>59.562751912730604</v>
      </c>
      <c r="AG52" s="263">
        <f>AC16/$AC16</f>
        <v>1</v>
      </c>
      <c r="AH52" s="263">
        <f>AD16/$AC16</f>
        <v>0.95857550680311598</v>
      </c>
      <c r="AI52" s="263">
        <f>AE16/$AC16</f>
        <v>2.4805841914666464</v>
      </c>
      <c r="AJ52" s="265">
        <f>AF16/$AC16</f>
        <v>3.7088888489074745</v>
      </c>
      <c r="AL52" s="280"/>
    </row>
    <row r="53" spans="1:45">
      <c r="A53" s="259">
        <v>25</v>
      </c>
      <c r="B53" s="260">
        <v>1</v>
      </c>
      <c r="C53" s="260" t="s">
        <v>213</v>
      </c>
      <c r="D53" s="262">
        <v>12</v>
      </c>
      <c r="E53" s="263">
        <v>21331</v>
      </c>
      <c r="F53" s="264">
        <v>63113.906325860218</v>
      </c>
      <c r="G53" s="264">
        <v>6178.7268614442901</v>
      </c>
      <c r="H53" s="264">
        <v>6760.3587152001674</v>
      </c>
      <c r="I53" s="264">
        <v>443.83446777649254</v>
      </c>
      <c r="J53" s="263">
        <v>-11.163810584523073</v>
      </c>
      <c r="K53" s="265">
        <v>-13.855123229844892</v>
      </c>
      <c r="L53" s="190">
        <f t="shared" si="3"/>
        <v>-2.691312645321819</v>
      </c>
      <c r="T53" s="443"/>
      <c r="U53" s="262">
        <v>5</v>
      </c>
      <c r="V53" s="260">
        <f t="shared" si="4"/>
        <v>-20</v>
      </c>
      <c r="W53" s="263">
        <f t="shared" si="5"/>
        <v>-15.389447338834863</v>
      </c>
      <c r="X53" s="263">
        <f t="shared" si="6"/>
        <v>-2.9148144743213784</v>
      </c>
      <c r="Y53" s="265">
        <f t="shared" si="7"/>
        <v>-4.1539053013076996</v>
      </c>
      <c r="AA53" s="443"/>
      <c r="AB53" s="262">
        <v>5</v>
      </c>
      <c r="AC53" s="263">
        <f>AC17/AC18</f>
        <v>1.0571851275533046</v>
      </c>
      <c r="AD53" s="263">
        <f>AD17/AD18</f>
        <v>2.0826766115079525</v>
      </c>
      <c r="AE53" s="263">
        <f>AE17/AE18</f>
        <v>60.236890491485141</v>
      </c>
      <c r="AF53" s="265">
        <f>AF17/AF18</f>
        <v>46.451831777091719</v>
      </c>
      <c r="AG53" s="263">
        <f>AC18/$AC18</f>
        <v>1</v>
      </c>
      <c r="AH53" s="263">
        <f>AD18/$AC18</f>
        <v>0.95596021344525439</v>
      </c>
      <c r="AI53" s="263">
        <f>AE18/$AC18</f>
        <v>1.9698039010617028</v>
      </c>
      <c r="AJ53" s="265">
        <f>AF18/$AC18</f>
        <v>2.6862178510487609</v>
      </c>
    </row>
    <row r="54" spans="1:45">
      <c r="A54" s="259">
        <v>25</v>
      </c>
      <c r="B54" s="260">
        <v>5</v>
      </c>
      <c r="C54" s="260" t="s">
        <v>213</v>
      </c>
      <c r="D54" s="262">
        <v>12</v>
      </c>
      <c r="E54" s="263">
        <v>24505</v>
      </c>
      <c r="F54" s="264">
        <v>71567.853085118768</v>
      </c>
      <c r="G54" s="264">
        <v>7101.1687576585255</v>
      </c>
      <c r="H54" s="264">
        <v>5574.9868903867327</v>
      </c>
      <c r="I54" s="264">
        <v>265.97314851082956</v>
      </c>
      <c r="J54" s="263">
        <v>-10.079087933712749</v>
      </c>
      <c r="K54" s="265">
        <v>-16.299680518248859</v>
      </c>
      <c r="L54" s="190">
        <f t="shared" si="3"/>
        <v>-6.2205925845361101</v>
      </c>
      <c r="T54" s="443"/>
      <c r="U54" s="262">
        <v>10</v>
      </c>
      <c r="V54" s="260">
        <f t="shared" si="4"/>
        <v>-20</v>
      </c>
      <c r="W54" s="263">
        <f t="shared" si="5"/>
        <v>-20</v>
      </c>
      <c r="X54" s="263">
        <f t="shared" si="6"/>
        <v>-4.5046541010652827</v>
      </c>
      <c r="Y54" s="265">
        <f t="shared" si="7"/>
        <v>-5.9522966692133572</v>
      </c>
      <c r="AA54" s="443"/>
      <c r="AB54" s="262">
        <v>10</v>
      </c>
      <c r="AC54" s="263">
        <f>AC19/AC20</f>
        <v>0.96733464513842016</v>
      </c>
      <c r="AD54" s="263">
        <f>AD19/AD20</f>
        <v>1.3664831833867663</v>
      </c>
      <c r="AE54" s="263">
        <f>AE19/AE20</f>
        <v>30.835149770414983</v>
      </c>
      <c r="AF54" s="265">
        <f>AF19/AF20</f>
        <v>23.338069239898253</v>
      </c>
      <c r="AG54" s="263">
        <f>AC20/$AC20</f>
        <v>1</v>
      </c>
      <c r="AH54" s="263">
        <f>AD20/$AC20</f>
        <v>0.99824478082928036</v>
      </c>
      <c r="AI54" s="263">
        <f>AE20/$AC20</f>
        <v>1.9991350520507958</v>
      </c>
      <c r="AJ54" s="265">
        <f>AF20/$AC20</f>
        <v>2.7958004877408817</v>
      </c>
    </row>
    <row r="55" spans="1:45" ht="17" thickBot="1">
      <c r="A55" s="259">
        <v>25</v>
      </c>
      <c r="B55" s="260">
        <v>10</v>
      </c>
      <c r="C55" s="260" t="s">
        <v>213</v>
      </c>
      <c r="D55" s="262">
        <v>12</v>
      </c>
      <c r="E55" s="263">
        <v>16667</v>
      </c>
      <c r="F55" s="264">
        <v>81011.222372453456</v>
      </c>
      <c r="G55" s="264">
        <v>16466.665830773232</v>
      </c>
      <c r="H55" s="264">
        <v>5269.6151900460809</v>
      </c>
      <c r="I55" s="264">
        <v>491.20921910280452</v>
      </c>
      <c r="J55" s="263">
        <v>-9.7796760253418658</v>
      </c>
      <c r="K55" s="265">
        <v>-16.991546243317718</v>
      </c>
      <c r="L55" s="190">
        <f t="shared" si="3"/>
        <v>-7.2118702179758518</v>
      </c>
      <c r="T55" s="445"/>
      <c r="U55" s="278">
        <v>20</v>
      </c>
      <c r="V55" s="261">
        <f t="shared" si="4"/>
        <v>-20</v>
      </c>
      <c r="W55" s="276">
        <f t="shared" si="5"/>
        <v>-20</v>
      </c>
      <c r="X55" s="276">
        <f t="shared" si="6"/>
        <v>-5.5045332213293641</v>
      </c>
      <c r="Y55" s="274">
        <f t="shared" si="7"/>
        <v>-7.3491254789476663</v>
      </c>
      <c r="AA55" s="445"/>
      <c r="AB55" s="278">
        <v>20</v>
      </c>
      <c r="AC55" s="276">
        <f>AC21/AC22</f>
        <v>0.98338581562737548</v>
      </c>
      <c r="AD55" s="276">
        <f>AD21/AD22</f>
        <v>1.3458832535668319</v>
      </c>
      <c r="AE55" s="276">
        <f>AE21/AE22</f>
        <v>19.429229163213165</v>
      </c>
      <c r="AF55" s="274">
        <f>AF21/AF22</f>
        <v>13.931719928427468</v>
      </c>
      <c r="AG55" s="276">
        <f>AC22/$AC22</f>
        <v>1</v>
      </c>
      <c r="AH55" s="276">
        <f>AD22/$AC22</f>
        <v>0.96637992409405515</v>
      </c>
      <c r="AI55" s="276">
        <f>AE22/$AC22</f>
        <v>1.9343644562595785</v>
      </c>
      <c r="AJ55" s="274">
        <f>AF22/$AC22</f>
        <v>2.6578157277849868</v>
      </c>
      <c r="AN55" s="281"/>
      <c r="AO55" s="281"/>
      <c r="AP55" s="281"/>
      <c r="AQ55" s="281"/>
    </row>
    <row r="56" spans="1:45">
      <c r="A56" s="259">
        <v>25</v>
      </c>
      <c r="B56" s="260">
        <v>20</v>
      </c>
      <c r="C56" s="260" t="s">
        <v>213</v>
      </c>
      <c r="D56" s="262">
        <v>12</v>
      </c>
      <c r="E56" s="263">
        <v>12982</v>
      </c>
      <c r="F56" s="264">
        <v>91153.467983302064</v>
      </c>
      <c r="G56" s="264">
        <v>9827.8672589916587</v>
      </c>
      <c r="H56" s="264">
        <v>4996.1467591919654</v>
      </c>
      <c r="I56" s="264">
        <v>129.56588980679487</v>
      </c>
      <c r="J56" s="263">
        <v>-9.5615221930115943</v>
      </c>
      <c r="K56" s="265">
        <v>-18.543157031025277</v>
      </c>
      <c r="L56" s="190">
        <f t="shared" si="3"/>
        <v>-8.981634838013683</v>
      </c>
      <c r="T56" s="446">
        <v>25</v>
      </c>
      <c r="U56" s="255">
        <v>0</v>
      </c>
      <c r="V56" s="254">
        <f t="shared" si="4"/>
        <v>-20</v>
      </c>
      <c r="W56" s="256">
        <f t="shared" si="5"/>
        <v>-18.725443235287948</v>
      </c>
      <c r="X56" s="256">
        <f t="shared" si="6"/>
        <v>-9.5170510050947996</v>
      </c>
      <c r="Y56" s="258">
        <f t="shared" si="7"/>
        <v>-13.816546287400644</v>
      </c>
      <c r="AA56" s="446">
        <v>25</v>
      </c>
      <c r="AB56" s="255">
        <v>0</v>
      </c>
      <c r="AC56" s="256">
        <f>AC23/AC24</f>
        <v>1.0461492926598566</v>
      </c>
      <c r="AD56" s="256">
        <f>AD23/AD24</f>
        <v>1.6818916558732018</v>
      </c>
      <c r="AE56" s="256">
        <f>AE23/AE24</f>
        <v>11.604590195275721</v>
      </c>
      <c r="AF56" s="258">
        <f>AF23/AF24</f>
        <v>5.2377556765966471</v>
      </c>
      <c r="AG56" s="256">
        <f>AC24/$AC24</f>
        <v>1</v>
      </c>
      <c r="AH56" s="256">
        <f>AD24/$AC24</f>
        <v>1.0905351916742516</v>
      </c>
      <c r="AI56" s="256">
        <f>AE24/$AC24</f>
        <v>26.659143944457931</v>
      </c>
      <c r="AJ56" s="258">
        <f>AF24/$AC24</f>
        <v>78.263909270182793</v>
      </c>
    </row>
    <row r="57" spans="1:45">
      <c r="A57" s="259">
        <v>35</v>
      </c>
      <c r="B57" s="260">
        <v>0</v>
      </c>
      <c r="C57" s="260" t="s">
        <v>213</v>
      </c>
      <c r="D57" s="262">
        <v>12</v>
      </c>
      <c r="E57" s="263">
        <v>18386</v>
      </c>
      <c r="F57" s="264">
        <v>85916.002653546282</v>
      </c>
      <c r="G57" s="264">
        <v>4172.8796020765794</v>
      </c>
      <c r="H57" s="264">
        <v>9546.333103322846</v>
      </c>
      <c r="I57" s="264">
        <v>119.86023447029193</v>
      </c>
      <c r="J57" s="263">
        <v>-9.7728218615704279</v>
      </c>
      <c r="K57" s="265">
        <v>-13.760853981298149</v>
      </c>
      <c r="L57" s="190">
        <f t="shared" si="3"/>
        <v>-3.9880321197277215</v>
      </c>
      <c r="T57" s="443"/>
      <c r="U57" s="262">
        <v>1</v>
      </c>
      <c r="V57" s="260">
        <f t="shared" si="4"/>
        <v>-20</v>
      </c>
      <c r="W57" s="263">
        <f t="shared" si="5"/>
        <v>-13.855123229844892</v>
      </c>
      <c r="X57" s="263">
        <f t="shared" si="6"/>
        <v>-3.1058393537660196</v>
      </c>
      <c r="Y57" s="265">
        <f t="shared" si="7"/>
        <v>-4.4190892093786136</v>
      </c>
      <c r="AA57" s="443"/>
      <c r="AB57" s="262">
        <v>1</v>
      </c>
      <c r="AC57" s="263">
        <f>AC25/AC26</f>
        <v>0.95001156342014337</v>
      </c>
      <c r="AD57" s="263">
        <f>AD25/AD26</f>
        <v>2.5418834937282617</v>
      </c>
      <c r="AE57" s="263">
        <f>AE25/AE26</f>
        <v>77.498259415613475</v>
      </c>
      <c r="AF57" s="265">
        <f>AF25/AF26</f>
        <v>64.048578309190631</v>
      </c>
      <c r="AG57" s="263">
        <f>AC26/$AC26</f>
        <v>1</v>
      </c>
      <c r="AH57" s="263">
        <f>AD26/$AC26</f>
        <v>0.95922886112296313</v>
      </c>
      <c r="AI57" s="263">
        <f>AE26/$AC26</f>
        <v>2.8977395000272193</v>
      </c>
      <c r="AJ57" s="265">
        <f>AF26/$AC26</f>
        <v>4.9295550725240274</v>
      </c>
      <c r="AL57" s="280"/>
    </row>
    <row r="58" spans="1:45">
      <c r="A58" s="259">
        <v>35</v>
      </c>
      <c r="B58" s="260">
        <v>1</v>
      </c>
      <c r="C58" s="260" t="s">
        <v>213</v>
      </c>
      <c r="D58" s="262">
        <v>12</v>
      </c>
      <c r="E58" s="263">
        <v>37998</v>
      </c>
      <c r="F58" s="264">
        <v>42829.796408749949</v>
      </c>
      <c r="G58" s="264">
        <v>7060.9930737375971</v>
      </c>
      <c r="H58" s="264">
        <v>5938.1233955565076</v>
      </c>
      <c r="I58" s="264">
        <v>602.31693026186838</v>
      </c>
      <c r="J58" s="263">
        <v>-13.865764726349273</v>
      </c>
      <c r="K58" s="265">
        <v>-16.797655077340213</v>
      </c>
      <c r="L58" s="190">
        <f t="shared" si="3"/>
        <v>-2.9318903509909404</v>
      </c>
      <c r="T58" s="443"/>
      <c r="U58" s="262">
        <v>5</v>
      </c>
      <c r="V58" s="260">
        <f t="shared" si="4"/>
        <v>-20</v>
      </c>
      <c r="W58" s="263">
        <f t="shared" si="5"/>
        <v>-16.299680518248859</v>
      </c>
      <c r="X58" s="263">
        <f t="shared" si="6"/>
        <v>-2.4247862994838734</v>
      </c>
      <c r="Y58" s="265">
        <f t="shared" si="7"/>
        <v>-3.0697760119160495</v>
      </c>
      <c r="AA58" s="443"/>
      <c r="AB58" s="262">
        <v>5</v>
      </c>
      <c r="AC58" s="263">
        <f>AC27/AC28</f>
        <v>1.0872370228434511</v>
      </c>
      <c r="AD58" s="263">
        <f>AD27/AD28</f>
        <v>1.9763371066347339</v>
      </c>
      <c r="AE58" s="263">
        <f>AE27/AE28</f>
        <v>78.619617020019788</v>
      </c>
      <c r="AF58" s="265">
        <f>AF27/AF28</f>
        <v>77.289229318356533</v>
      </c>
      <c r="AG58" s="263">
        <f>AC28/$AC28</f>
        <v>1</v>
      </c>
      <c r="AH58" s="263">
        <f>AD28/$AC28</f>
        <v>1.1340945051545488</v>
      </c>
      <c r="AI58" s="263">
        <f>AE28/$AC28</f>
        <v>2.0761400722560706</v>
      </c>
      <c r="AJ58" s="265">
        <f>AF28/$AC28</f>
        <v>2.6167745809747109</v>
      </c>
      <c r="AL58" s="280"/>
    </row>
    <row r="59" spans="1:45">
      <c r="A59" s="259">
        <v>35</v>
      </c>
      <c r="B59" s="260">
        <v>5</v>
      </c>
      <c r="C59" s="260" t="s">
        <v>213</v>
      </c>
      <c r="D59" s="262">
        <v>12</v>
      </c>
      <c r="E59" s="263">
        <v>36248</v>
      </c>
      <c r="F59" s="264">
        <v>50452.499064793818</v>
      </c>
      <c r="G59" s="264">
        <v>6428.8624223278639</v>
      </c>
      <c r="H59" s="264">
        <v>5328.8900607416363</v>
      </c>
      <c r="I59" s="264">
        <v>351.32755447532878</v>
      </c>
      <c r="J59" s="263">
        <v>-12.862136734871665</v>
      </c>
      <c r="K59" s="265">
        <v>-18.203679044314004</v>
      </c>
      <c r="L59" s="190">
        <f t="shared" si="3"/>
        <v>-5.3415423094423389</v>
      </c>
      <c r="T59" s="443"/>
      <c r="U59" s="262">
        <v>10</v>
      </c>
      <c r="V59" s="260">
        <f t="shared" si="4"/>
        <v>-20</v>
      </c>
      <c r="W59" s="263">
        <f t="shared" si="5"/>
        <v>-16.991546243317718</v>
      </c>
      <c r="X59" s="263">
        <f t="shared" si="6"/>
        <v>-3.3688973318251247</v>
      </c>
      <c r="Y59" s="265">
        <f t="shared" si="7"/>
        <v>-3.6604401580651724</v>
      </c>
      <c r="AA59" s="443"/>
      <c r="AB59" s="262">
        <v>10</v>
      </c>
      <c r="AC59" s="263">
        <f>AC29/AC30</f>
        <v>1.1024060266750535</v>
      </c>
      <c r="AD59" s="263">
        <f>AD29/AD30</f>
        <v>1.8550047265686613</v>
      </c>
      <c r="AE59" s="263">
        <f>AE29/AE30</f>
        <v>48.769227674100605</v>
      </c>
      <c r="AF59" s="265">
        <f>AF29/AF30</f>
        <v>54.348662997774198</v>
      </c>
      <c r="AG59" s="263">
        <f>AC30/$AC30</f>
        <v>1</v>
      </c>
      <c r="AH59" s="263">
        <f>AD30/$AC30</f>
        <v>1.1456212437124564</v>
      </c>
      <c r="AI59" s="263">
        <f>AE30/$AC30</f>
        <v>1.9222543366089901</v>
      </c>
      <c r="AJ59" s="265">
        <f>AF30/$AC30</f>
        <v>2.495817534909786</v>
      </c>
      <c r="AL59" s="280"/>
    </row>
    <row r="60" spans="1:45" ht="17" thickBot="1">
      <c r="A60" s="259">
        <v>35</v>
      </c>
      <c r="B60" s="260">
        <v>10</v>
      </c>
      <c r="C60" s="260" t="s">
        <v>213</v>
      </c>
      <c r="D60" s="262">
        <v>12</v>
      </c>
      <c r="E60" s="263">
        <v>16894</v>
      </c>
      <c r="F60" s="264">
        <v>62086.811708597728</v>
      </c>
      <c r="G60" s="264">
        <v>1996.5603788680664</v>
      </c>
      <c r="H60" s="264">
        <v>5433.4635635118793</v>
      </c>
      <c r="I60" s="264">
        <v>253.99778326244342</v>
      </c>
      <c r="J60" s="263">
        <v>-11.974033560292561</v>
      </c>
      <c r="K60" s="265">
        <v>-17.248378737381337</v>
      </c>
      <c r="L60" s="190">
        <f t="shared" si="3"/>
        <v>-5.2743451770887759</v>
      </c>
      <c r="T60" s="445"/>
      <c r="U60" s="278">
        <v>20</v>
      </c>
      <c r="V60" s="261">
        <f t="shared" si="4"/>
        <v>-20</v>
      </c>
      <c r="W60" s="276">
        <f t="shared" si="5"/>
        <v>-18.543157031025277</v>
      </c>
      <c r="X60" s="276">
        <f t="shared" si="6"/>
        <v>-3.9455696651705812</v>
      </c>
      <c r="Y60" s="274">
        <f t="shared" si="7"/>
        <v>-4.5245219604525158</v>
      </c>
      <c r="AA60" s="445"/>
      <c r="AB60" s="278">
        <v>20</v>
      </c>
      <c r="AC60" s="276">
        <f>AC31/AC32</f>
        <v>1.1100171389266671</v>
      </c>
      <c r="AD60" s="276">
        <f>AD31/AD32</f>
        <v>1.671852667424556</v>
      </c>
      <c r="AE60" s="276">
        <f>AE31/AE32</f>
        <v>36.59562802443974</v>
      </c>
      <c r="AF60" s="274">
        <f>AF31/AF32</f>
        <v>38.017370016112608</v>
      </c>
      <c r="AG60" s="276">
        <f>AC32/$AC32</f>
        <v>1</v>
      </c>
      <c r="AH60" s="276">
        <f>AD32/$AC32</f>
        <v>1.1779428431337822</v>
      </c>
      <c r="AI60" s="276">
        <f>AE32/$AC32</f>
        <v>1.9585682699884677</v>
      </c>
      <c r="AJ60" s="274">
        <f>AF32/$AC32</f>
        <v>2.3356857299774099</v>
      </c>
      <c r="AL60" s="280"/>
    </row>
    <row r="61" spans="1:45">
      <c r="A61" s="259">
        <v>35</v>
      </c>
      <c r="B61" s="260">
        <v>20</v>
      </c>
      <c r="C61" s="260" t="s">
        <v>213</v>
      </c>
      <c r="D61" s="262">
        <v>12</v>
      </c>
      <c r="E61" s="263">
        <v>17608</v>
      </c>
      <c r="F61" s="264">
        <v>51909.443253044941</v>
      </c>
      <c r="G61" s="264">
        <v>29791.08329428899</v>
      </c>
      <c r="H61" s="264">
        <v>4696.5733886999169</v>
      </c>
      <c r="I61" s="264">
        <v>990.3320340230465</v>
      </c>
      <c r="J61" s="263">
        <v>-12.70276165769857</v>
      </c>
      <c r="K61" s="265">
        <v>-19.803791681532221</v>
      </c>
      <c r="L61" s="190">
        <f t="shared" si="3"/>
        <v>-7.1010300238336512</v>
      </c>
      <c r="T61" s="446">
        <v>35</v>
      </c>
      <c r="U61" s="255">
        <v>0</v>
      </c>
      <c r="V61" s="254">
        <f t="shared" si="4"/>
        <v>-20</v>
      </c>
      <c r="W61" s="256">
        <f t="shared" si="5"/>
        <v>-13.760853981298149</v>
      </c>
      <c r="X61" s="256">
        <f t="shared" si="6"/>
        <v>-12.52299130408421</v>
      </c>
      <c r="Y61" s="258">
        <f t="shared" si="7"/>
        <v>-19.626993942728518</v>
      </c>
      <c r="AA61" s="446">
        <v>35</v>
      </c>
      <c r="AB61" s="255">
        <v>0</v>
      </c>
      <c r="AC61" s="256">
        <f>AC33/AC34</f>
        <v>1.1416465546378975</v>
      </c>
      <c r="AD61" s="256">
        <f>AD33/AD34</f>
        <v>2.7406294497195036</v>
      </c>
      <c r="AE61" s="256">
        <f>AE33/AE34</f>
        <v>5.9385762800277915</v>
      </c>
      <c r="AF61" s="258">
        <f>AF33/AF34</f>
        <v>2.3506547167743306</v>
      </c>
      <c r="AG61" s="256">
        <f>AC34/$AC34</f>
        <v>1</v>
      </c>
      <c r="AH61" s="256">
        <f>AD34/$AC34</f>
        <v>1.3469503224638641</v>
      </c>
      <c r="AI61" s="256">
        <f>AE34/$AC34</f>
        <v>46.34069517160215</v>
      </c>
      <c r="AJ61" s="258">
        <f>AF34/$AC34</f>
        <v>118.68315628630847</v>
      </c>
      <c r="AL61" s="280"/>
    </row>
    <row r="62" spans="1:45">
      <c r="A62" s="259">
        <v>5</v>
      </c>
      <c r="B62" s="260">
        <v>0</v>
      </c>
      <c r="C62" s="260" t="s">
        <v>214</v>
      </c>
      <c r="D62" s="262">
        <v>12</v>
      </c>
      <c r="E62" s="263">
        <v>15077</v>
      </c>
      <c r="F62" s="264">
        <v>16714.002777462465</v>
      </c>
      <c r="G62" s="264">
        <v>9185.0486657584916</v>
      </c>
      <c r="H62" s="264">
        <v>2979.4677071750029</v>
      </c>
      <c r="I62" s="264">
        <v>636.94664619791047</v>
      </c>
      <c r="J62" s="263"/>
      <c r="K62" s="265"/>
      <c r="T62" s="443"/>
      <c r="U62" s="262">
        <v>1</v>
      </c>
      <c r="V62" s="260">
        <f t="shared" si="4"/>
        <v>-20</v>
      </c>
      <c r="W62" s="263">
        <f t="shared" si="5"/>
        <v>-16.797655077340213</v>
      </c>
      <c r="X62" s="263">
        <f t="shared" si="6"/>
        <v>-3.3262229502685248</v>
      </c>
      <c r="Y62" s="265">
        <f t="shared" si="7"/>
        <v>-5.3657884488582317</v>
      </c>
      <c r="AA62" s="443"/>
      <c r="AB62" s="262">
        <v>1</v>
      </c>
      <c r="AC62" s="263">
        <f>AC35/AC36</f>
        <v>1.1046127508224746</v>
      </c>
      <c r="AD62" s="263">
        <f>AD35/AD36</f>
        <v>1.9375936058871841</v>
      </c>
      <c r="AE62" s="263">
        <f>AE35/AE36</f>
        <v>75.912402851405432</v>
      </c>
      <c r="AF62" s="265">
        <f>AF35/AF36</f>
        <v>47.058562387744892</v>
      </c>
      <c r="AG62" s="263">
        <f>AC36/$AC36</f>
        <v>1</v>
      </c>
      <c r="AH62" s="263">
        <f>AD36/$AC36</f>
        <v>1.2320764826713813</v>
      </c>
      <c r="AI62" s="263">
        <f>AE36/$AC36</f>
        <v>3.5322982454693665</v>
      </c>
      <c r="AJ62" s="265">
        <f>AF36/$AC36</f>
        <v>5.0275651617809913</v>
      </c>
    </row>
    <row r="63" spans="1:45">
      <c r="A63" s="259">
        <v>5</v>
      </c>
      <c r="B63" s="260">
        <v>1</v>
      </c>
      <c r="C63" s="260" t="s">
        <v>214</v>
      </c>
      <c r="D63" s="262">
        <v>12</v>
      </c>
      <c r="E63" s="263">
        <v>14382</v>
      </c>
      <c r="F63" s="264">
        <v>13505.49391819182</v>
      </c>
      <c r="G63" s="264">
        <v>140.66234329332315</v>
      </c>
      <c r="H63" s="264">
        <v>2676.5371999016488</v>
      </c>
      <c r="I63" s="264">
        <v>110.47864143416952</v>
      </c>
      <c r="J63" s="263"/>
      <c r="K63" s="265"/>
      <c r="T63" s="443"/>
      <c r="U63" s="262">
        <v>5</v>
      </c>
      <c r="V63" s="260">
        <f t="shared" si="4"/>
        <v>-20</v>
      </c>
      <c r="W63" s="263">
        <f t="shared" si="5"/>
        <v>-18.203679044314004</v>
      </c>
      <c r="X63" s="263">
        <f t="shared" si="6"/>
        <v>-1.9800047219509875</v>
      </c>
      <c r="Y63" s="265">
        <f t="shared" si="7"/>
        <v>-2.4630805339759703</v>
      </c>
      <c r="AA63" s="443"/>
      <c r="AB63" s="262">
        <v>5</v>
      </c>
      <c r="AC63" s="263">
        <f>AC37/AC38</f>
        <v>1.0742585224437595</v>
      </c>
      <c r="AD63" s="263">
        <f>AD37/AD38</f>
        <v>1.7341420883192562</v>
      </c>
      <c r="AE63" s="263">
        <f>AE37/AE38</f>
        <v>98.22789120239203</v>
      </c>
      <c r="AF63" s="265">
        <f>AF37/AF38</f>
        <v>105.43840949435095</v>
      </c>
      <c r="AG63" s="263">
        <f>AC38/$AC38</f>
        <v>1</v>
      </c>
      <c r="AH63" s="263">
        <f>AD38/$AC38</f>
        <v>1.1851253736546938</v>
      </c>
      <c r="AI63" s="263">
        <f>AE38/$AC38</f>
        <v>1.7784875691374902</v>
      </c>
      <c r="AJ63" s="265">
        <f>AF38/$AC38</f>
        <v>2.6428600660079877</v>
      </c>
    </row>
    <row r="64" spans="1:45">
      <c r="A64" s="259">
        <v>5</v>
      </c>
      <c r="B64" s="260">
        <v>5</v>
      </c>
      <c r="C64" s="260" t="s">
        <v>214</v>
      </c>
      <c r="D64" s="262">
        <v>12</v>
      </c>
      <c r="E64" s="263">
        <v>14762</v>
      </c>
      <c r="F64" s="264">
        <v>13757.986257053146</v>
      </c>
      <c r="G64" s="264">
        <v>488.60752990278161</v>
      </c>
      <c r="H64" s="264">
        <v>2600.7184545708533</v>
      </c>
      <c r="I64" s="264">
        <v>18.898002846631421</v>
      </c>
      <c r="J64" s="263"/>
      <c r="K64" s="265"/>
      <c r="T64" s="443"/>
      <c r="U64" s="262">
        <v>10</v>
      </c>
      <c r="V64" s="260">
        <f t="shared" si="4"/>
        <v>-20</v>
      </c>
      <c r="W64" s="263">
        <f t="shared" si="5"/>
        <v>-17.248378737381337</v>
      </c>
      <c r="X64" s="263">
        <f t="shared" si="6"/>
        <v>-2.670709295158292</v>
      </c>
      <c r="Y64" s="265">
        <f t="shared" si="7"/>
        <v>-2.9033709785293214</v>
      </c>
      <c r="AA64" s="443"/>
      <c r="AB64" s="262">
        <v>10</v>
      </c>
      <c r="AC64" s="263">
        <f>AC39/AC40</f>
        <v>1.0399228737672064</v>
      </c>
      <c r="AD64" s="263">
        <f>AD39/AD40</f>
        <v>1.8418981247565929</v>
      </c>
      <c r="AE64" s="263">
        <f>AE39/AE40</f>
        <v>68.275790008620902</v>
      </c>
      <c r="AF64" s="265">
        <f>AF39/AF40</f>
        <v>80.248525366483747</v>
      </c>
      <c r="AG64" s="263">
        <f>AC40/$AC40</f>
        <v>1</v>
      </c>
      <c r="AH64" s="263">
        <f>AD40/$AC40</f>
        <v>1.1229735587644765</v>
      </c>
      <c r="AI64" s="263">
        <f>AE40/$AC40</f>
        <v>2.0197270794460098</v>
      </c>
      <c r="AJ64" s="265">
        <f>AF40/$AC40</f>
        <v>2.5582770797248013</v>
      </c>
      <c r="AS64" s="190" t="s">
        <v>1104</v>
      </c>
    </row>
    <row r="65" spans="1:52" ht="17" thickBot="1">
      <c r="A65" s="259">
        <v>5</v>
      </c>
      <c r="B65" s="260">
        <v>10</v>
      </c>
      <c r="C65" s="260" t="s">
        <v>214</v>
      </c>
      <c r="D65" s="262">
        <v>12</v>
      </c>
      <c r="E65" s="263">
        <v>16025</v>
      </c>
      <c r="F65" s="264">
        <v>14567.87435495311</v>
      </c>
      <c r="G65" s="264">
        <v>726.49462711866488</v>
      </c>
      <c r="H65" s="264">
        <v>2671.9660989992763</v>
      </c>
      <c r="I65" s="264">
        <v>38.648033647569839</v>
      </c>
      <c r="J65" s="263"/>
      <c r="K65" s="265"/>
      <c r="T65" s="445"/>
      <c r="U65" s="278">
        <v>20</v>
      </c>
      <c r="V65" s="261">
        <f t="shared" si="4"/>
        <v>-20</v>
      </c>
      <c r="W65" s="276">
        <f t="shared" si="5"/>
        <v>-19.803791681532221</v>
      </c>
      <c r="X65" s="276">
        <f t="shared" si="6"/>
        <v>-3.2572734406937287</v>
      </c>
      <c r="Y65" s="274">
        <f t="shared" si="7"/>
        <v>-4.6060109073204396</v>
      </c>
      <c r="AA65" s="445"/>
      <c r="AB65" s="278">
        <v>20</v>
      </c>
      <c r="AC65" s="276">
        <f>AC41/AC42</f>
        <v>1.1128593559995958</v>
      </c>
      <c r="AD65" s="276">
        <f>AD41/AD42</f>
        <v>1.5601532816392067</v>
      </c>
      <c r="AE65" s="276">
        <f>AE41/AE42</f>
        <v>50.865956417748727</v>
      </c>
      <c r="AF65" s="274">
        <f>AF41/AF42</f>
        <v>38.932087733613542</v>
      </c>
      <c r="AG65" s="276">
        <f>AC42/$AC42</f>
        <v>1</v>
      </c>
      <c r="AH65" s="276">
        <f>AD42/$AC42</f>
        <v>1.2011552581258158</v>
      </c>
      <c r="AI65" s="276">
        <f>AE42/$AC42</f>
        <v>2.1184502377316656</v>
      </c>
      <c r="AJ65" s="274">
        <f>AF42/$AC42</f>
        <v>3.06364241463594</v>
      </c>
      <c r="AT65" s="441" t="s">
        <v>1105</v>
      </c>
      <c r="AU65" s="441"/>
      <c r="AV65" s="441"/>
      <c r="AW65" s="441"/>
      <c r="AX65" s="441"/>
      <c r="AY65" s="441"/>
      <c r="AZ65" s="441"/>
    </row>
    <row r="66" spans="1:52" ht="17" thickBot="1">
      <c r="A66" s="259">
        <v>5</v>
      </c>
      <c r="B66" s="260">
        <v>20</v>
      </c>
      <c r="C66" s="260" t="s">
        <v>214</v>
      </c>
      <c r="D66" s="262">
        <v>12</v>
      </c>
      <c r="E66" s="263">
        <v>34186</v>
      </c>
      <c r="F66" s="264">
        <v>11975.16300028253</v>
      </c>
      <c r="G66" s="264">
        <v>703.17193808274874</v>
      </c>
      <c r="H66" s="264">
        <v>2548.2700035369016</v>
      </c>
      <c r="I66" s="264">
        <v>38.372874556479218</v>
      </c>
      <c r="J66" s="263"/>
      <c r="K66" s="265"/>
      <c r="W66" s="263"/>
      <c r="AS66" s="269"/>
      <c r="AT66" s="256">
        <v>0.01</v>
      </c>
      <c r="AU66" s="256">
        <v>0.1</v>
      </c>
      <c r="AV66" s="256">
        <v>1</v>
      </c>
      <c r="AW66" s="256">
        <v>5</v>
      </c>
      <c r="AX66" s="256">
        <v>15</v>
      </c>
      <c r="AY66" s="256">
        <v>25</v>
      </c>
      <c r="AZ66" s="258">
        <v>35</v>
      </c>
    </row>
    <row r="67" spans="1:52" ht="17" thickBot="1">
      <c r="A67" s="259">
        <v>15</v>
      </c>
      <c r="B67" s="260">
        <v>0</v>
      </c>
      <c r="C67" s="260" t="s">
        <v>214</v>
      </c>
      <c r="D67" s="262">
        <v>12</v>
      </c>
      <c r="E67" s="263">
        <v>38341</v>
      </c>
      <c r="F67" s="264">
        <v>11959.550473585685</v>
      </c>
      <c r="G67" s="264">
        <v>594.85323953777129</v>
      </c>
      <c r="H67" s="264">
        <v>2657.2721273836701</v>
      </c>
      <c r="I67" s="264">
        <v>87.580479048794103</v>
      </c>
      <c r="J67" s="263"/>
      <c r="K67" s="265"/>
      <c r="W67" s="263"/>
      <c r="AR67" s="447" t="s">
        <v>1106</v>
      </c>
      <c r="AS67" s="273">
        <v>0</v>
      </c>
      <c r="AT67" s="269">
        <v>-20</v>
      </c>
      <c r="AU67" s="256">
        <v>-20</v>
      </c>
      <c r="AV67" s="256">
        <v>-9.4439342203796333</v>
      </c>
      <c r="AW67" s="256">
        <v>-15.084667272128305</v>
      </c>
      <c r="AX67" s="256">
        <v>-11.781150524997408</v>
      </c>
      <c r="AY67" s="256">
        <v>-13.816546287400644</v>
      </c>
      <c r="AZ67" s="258">
        <v>-19.626993942728518</v>
      </c>
    </row>
    <row r="68" spans="1:52" ht="15.5" customHeight="1">
      <c r="A68" s="259">
        <v>15</v>
      </c>
      <c r="B68" s="260">
        <v>1</v>
      </c>
      <c r="C68" s="260" t="s">
        <v>214</v>
      </c>
      <c r="D68" s="262">
        <v>12</v>
      </c>
      <c r="E68" s="263">
        <v>22208</v>
      </c>
      <c r="F68" s="264">
        <v>13023.139068414926</v>
      </c>
      <c r="G68" s="264">
        <v>1147.3569664034671</v>
      </c>
      <c r="H68" s="264">
        <v>2558.2834683652336</v>
      </c>
      <c r="I68" s="264">
        <v>46.863026610332788</v>
      </c>
      <c r="J68" s="263"/>
      <c r="K68" s="265"/>
      <c r="T68" s="448" t="s">
        <v>1107</v>
      </c>
      <c r="U68" s="449"/>
      <c r="V68" s="449"/>
      <c r="W68" s="449"/>
      <c r="X68" s="449"/>
      <c r="Y68" s="450"/>
      <c r="AR68" s="447"/>
      <c r="AS68" s="273">
        <v>1</v>
      </c>
      <c r="AT68" s="273">
        <v>-20</v>
      </c>
      <c r="AU68" s="263">
        <v>-20</v>
      </c>
      <c r="AV68" s="263">
        <v>-10.073801100923856</v>
      </c>
      <c r="AW68" s="263">
        <v>-4.3152828762561768</v>
      </c>
      <c r="AX68" s="263">
        <v>-4.3160977221447148</v>
      </c>
      <c r="AY68" s="263">
        <v>-4.4190892093786136</v>
      </c>
      <c r="AZ68" s="265">
        <v>-5.3657884488582317</v>
      </c>
    </row>
    <row r="69" spans="1:52" ht="17" thickBot="1">
      <c r="A69" s="259">
        <v>15</v>
      </c>
      <c r="B69" s="260">
        <v>5</v>
      </c>
      <c r="C69" s="260" t="s">
        <v>214</v>
      </c>
      <c r="D69" s="262">
        <v>12</v>
      </c>
      <c r="E69" s="263">
        <v>35305</v>
      </c>
      <c r="F69" s="264">
        <v>12988.306773781535</v>
      </c>
      <c r="G69" s="264">
        <v>416.45515535770056</v>
      </c>
      <c r="H69" s="264">
        <v>2564.2336988160423</v>
      </c>
      <c r="I69" s="264">
        <v>48.231861640961412</v>
      </c>
      <c r="J69" s="263"/>
      <c r="K69" s="265"/>
      <c r="Q69" s="263"/>
      <c r="T69" s="277" t="s">
        <v>420</v>
      </c>
      <c r="U69" s="261" t="s">
        <v>421</v>
      </c>
      <c r="V69" s="276">
        <v>6</v>
      </c>
      <c r="W69" s="276">
        <v>12</v>
      </c>
      <c r="X69" s="276">
        <v>48</v>
      </c>
      <c r="Y69" s="274">
        <v>96</v>
      </c>
      <c r="AR69" s="447"/>
      <c r="AS69" s="273">
        <v>5</v>
      </c>
      <c r="AT69" s="273">
        <v>-20</v>
      </c>
      <c r="AU69" s="263">
        <v>-20</v>
      </c>
      <c r="AV69" s="263">
        <v>-9.9350481419027385</v>
      </c>
      <c r="AW69" s="263">
        <v>-7.3686235931285573</v>
      </c>
      <c r="AX69" s="263">
        <v>-4.1539053013076996</v>
      </c>
      <c r="AY69" s="263">
        <v>-3.0697760119160495</v>
      </c>
      <c r="AZ69" s="265">
        <v>-2.4630805339759703</v>
      </c>
    </row>
    <row r="70" spans="1:52">
      <c r="A70" s="259">
        <v>15</v>
      </c>
      <c r="B70" s="260">
        <v>10</v>
      </c>
      <c r="C70" s="260" t="s">
        <v>214</v>
      </c>
      <c r="D70" s="262">
        <v>12</v>
      </c>
      <c r="E70" s="263">
        <v>19563</v>
      </c>
      <c r="F70" s="264">
        <v>13345.5786413638</v>
      </c>
      <c r="G70" s="264">
        <v>1013.876659514595</v>
      </c>
      <c r="H70" s="264">
        <v>2638.1209783001805</v>
      </c>
      <c r="I70" s="264">
        <v>102.83488585634214</v>
      </c>
      <c r="J70" s="263"/>
      <c r="K70" s="265"/>
      <c r="Q70" s="263"/>
      <c r="T70" s="446">
        <v>5</v>
      </c>
      <c r="U70" s="255">
        <v>0</v>
      </c>
      <c r="V70" s="256">
        <f>AC46/AG46</f>
        <v>0.98877546401402205</v>
      </c>
      <c r="W70" s="256">
        <f t="shared" ref="W70:Y85" si="8">AD46/AH46</f>
        <v>1.204089610494854</v>
      </c>
      <c r="X70" s="256">
        <f t="shared" si="8"/>
        <v>4.9500732169095487</v>
      </c>
      <c r="Y70" s="258">
        <f t="shared" si="8"/>
        <v>0.29451973207881049</v>
      </c>
      <c r="AR70" s="447"/>
      <c r="AS70" s="273">
        <v>10</v>
      </c>
      <c r="AT70" s="273">
        <v>-20</v>
      </c>
      <c r="AU70" s="263">
        <v>-20</v>
      </c>
      <c r="AV70" s="263">
        <v>-10.83129151902896</v>
      </c>
      <c r="AW70" s="263">
        <v>-9.0350154289946936</v>
      </c>
      <c r="AX70" s="263">
        <v>-5.9522966692133572</v>
      </c>
      <c r="AY70" s="263">
        <v>-3.6604401580651724</v>
      </c>
      <c r="AZ70" s="265">
        <v>-2.9033709785293214</v>
      </c>
    </row>
    <row r="71" spans="1:52">
      <c r="A71" s="259">
        <v>15</v>
      </c>
      <c r="B71" s="260">
        <v>20</v>
      </c>
      <c r="C71" s="260" t="s">
        <v>214</v>
      </c>
      <c r="D71" s="262">
        <v>12</v>
      </c>
      <c r="E71" s="263">
        <v>18983</v>
      </c>
      <c r="F71" s="264">
        <v>14065.496658280077</v>
      </c>
      <c r="G71" s="264">
        <v>1021.2516116039239</v>
      </c>
      <c r="H71" s="264">
        <v>2606.5074181957398</v>
      </c>
      <c r="I71" s="264">
        <v>120.84993354838814</v>
      </c>
      <c r="J71" s="263"/>
      <c r="K71" s="265"/>
      <c r="Q71" s="263"/>
      <c r="T71" s="443"/>
      <c r="U71" s="262">
        <v>1</v>
      </c>
      <c r="V71" s="263">
        <f t="shared" ref="V71:Y89" si="9">AC47/AG47</f>
        <v>0.94003671220445251</v>
      </c>
      <c r="W71" s="263">
        <f t="shared" si="8"/>
        <v>1.3951335805767415</v>
      </c>
      <c r="X71" s="263">
        <f t="shared" si="8"/>
        <v>20.89628455639345</v>
      </c>
      <c r="Y71" s="265">
        <f t="shared" si="8"/>
        <v>20.268957699601</v>
      </c>
      <c r="AR71" s="447"/>
      <c r="AS71" s="273">
        <v>20</v>
      </c>
      <c r="AT71" s="273">
        <v>-20</v>
      </c>
      <c r="AU71" s="263">
        <v>-20</v>
      </c>
      <c r="AV71" s="263">
        <v>-14.636744644861652</v>
      </c>
      <c r="AW71" s="263">
        <v>-10.773445919765162</v>
      </c>
      <c r="AX71" s="263">
        <v>-7.3491254789476663</v>
      </c>
      <c r="AY71" s="263">
        <v>-4.5245219604525158</v>
      </c>
      <c r="AZ71" s="265">
        <v>-4.6060109073204396</v>
      </c>
    </row>
    <row r="72" spans="1:52" ht="17" thickBot="1">
      <c r="A72" s="259">
        <v>25</v>
      </c>
      <c r="B72" s="260">
        <v>0</v>
      </c>
      <c r="C72" s="260" t="s">
        <v>214</v>
      </c>
      <c r="D72" s="262">
        <v>12</v>
      </c>
      <c r="E72" s="263">
        <v>26958</v>
      </c>
      <c r="F72" s="264">
        <v>13202.054970807827</v>
      </c>
      <c r="G72" s="264">
        <v>311.45724404771352</v>
      </c>
      <c r="H72" s="264">
        <v>2916.5575894275016</v>
      </c>
      <c r="I72" s="264">
        <v>51.493445626409546</v>
      </c>
      <c r="J72" s="263"/>
      <c r="K72" s="265"/>
      <c r="Q72" s="263"/>
      <c r="T72" s="443"/>
      <c r="U72" s="262">
        <v>5</v>
      </c>
      <c r="V72" s="263">
        <f t="shared" si="9"/>
        <v>0.91176960768714321</v>
      </c>
      <c r="W72" s="263">
        <f t="shared" si="8"/>
        <v>1.3217056387254564</v>
      </c>
      <c r="X72" s="263">
        <f t="shared" si="8"/>
        <v>7.8308113027215294</v>
      </c>
      <c r="Y72" s="265">
        <f t="shared" si="8"/>
        <v>5.0906534329766213</v>
      </c>
      <c r="AR72" s="447"/>
      <c r="AS72" s="275">
        <v>50</v>
      </c>
      <c r="AT72" s="275">
        <v>-20</v>
      </c>
      <c r="AU72" s="276">
        <v>-20</v>
      </c>
      <c r="AV72" s="276">
        <v>-20</v>
      </c>
      <c r="AW72" s="282"/>
      <c r="AX72" s="282"/>
      <c r="AY72" s="282"/>
      <c r="AZ72" s="283"/>
    </row>
    <row r="73" spans="1:52">
      <c r="A73" s="259">
        <v>25</v>
      </c>
      <c r="B73" s="260">
        <v>1</v>
      </c>
      <c r="C73" s="260" t="s">
        <v>214</v>
      </c>
      <c r="D73" s="262">
        <v>12</v>
      </c>
      <c r="E73" s="263">
        <v>24868</v>
      </c>
      <c r="F73" s="264">
        <v>14075.42684307562</v>
      </c>
      <c r="G73" s="264">
        <v>370.16132770270445</v>
      </c>
      <c r="H73" s="264">
        <v>2659.5863783215859</v>
      </c>
      <c r="I73" s="264">
        <v>61.901080556984141</v>
      </c>
      <c r="J73" s="263"/>
      <c r="K73" s="265"/>
      <c r="Q73" s="263"/>
      <c r="T73" s="443"/>
      <c r="U73" s="262">
        <v>10</v>
      </c>
      <c r="V73" s="263">
        <f t="shared" si="9"/>
        <v>0.94467322792895503</v>
      </c>
      <c r="W73" s="263">
        <f t="shared" si="8"/>
        <v>1.1683936233116381</v>
      </c>
      <c r="X73" s="263">
        <f t="shared" si="8"/>
        <v>4.97941541204953</v>
      </c>
      <c r="Y73" s="265">
        <f t="shared" si="8"/>
        <v>3.1544695454251461</v>
      </c>
    </row>
    <row r="74" spans="1:52" ht="17" thickBot="1">
      <c r="A74" s="259">
        <v>25</v>
      </c>
      <c r="B74" s="260">
        <v>5</v>
      </c>
      <c r="C74" s="260" t="s">
        <v>214</v>
      </c>
      <c r="D74" s="262">
        <v>12</v>
      </c>
      <c r="E74" s="263">
        <v>34129</v>
      </c>
      <c r="F74" s="264">
        <v>12869.095085349818</v>
      </c>
      <c r="G74" s="264">
        <v>432.25532931925386</v>
      </c>
      <c r="H74" s="264">
        <v>2820.8683992579108</v>
      </c>
      <c r="I74" s="264">
        <v>27.604891123765103</v>
      </c>
      <c r="J74" s="263"/>
      <c r="K74" s="265"/>
      <c r="Q74" s="263"/>
      <c r="T74" s="445"/>
      <c r="U74" s="278">
        <v>20</v>
      </c>
      <c r="V74" s="276">
        <f t="shared" si="9"/>
        <v>1.0069224822242964</v>
      </c>
      <c r="W74" s="276">
        <f t="shared" si="8"/>
        <v>1.3267467500737995</v>
      </c>
      <c r="X74" s="276">
        <f t="shared" si="8"/>
        <v>1.5410248669416737</v>
      </c>
      <c r="Y74" s="274">
        <f t="shared" si="8"/>
        <v>2.1352671542979342</v>
      </c>
    </row>
    <row r="75" spans="1:52">
      <c r="A75" s="259">
        <v>25</v>
      </c>
      <c r="B75" s="260">
        <v>10</v>
      </c>
      <c r="C75" s="260" t="s">
        <v>214</v>
      </c>
      <c r="D75" s="262">
        <v>12</v>
      </c>
      <c r="E75" s="263">
        <v>31155</v>
      </c>
      <c r="F75" s="264">
        <v>13725.12663839298</v>
      </c>
      <c r="G75" s="264">
        <v>1155.9187591966804</v>
      </c>
      <c r="H75" s="264">
        <v>2840.7556673958861</v>
      </c>
      <c r="I75" s="264">
        <v>152.4595932859049</v>
      </c>
      <c r="J75" s="263"/>
      <c r="K75" s="265"/>
      <c r="Q75" s="263"/>
      <c r="T75" s="446">
        <v>15</v>
      </c>
      <c r="U75" s="255">
        <v>0</v>
      </c>
      <c r="V75" s="256">
        <f t="shared" si="9"/>
        <v>1.0319444836120737</v>
      </c>
      <c r="W75" s="256">
        <f t="shared" si="8"/>
        <v>2.3550363634240137</v>
      </c>
      <c r="X75" s="256">
        <f t="shared" si="8"/>
        <v>0.84649113630165651</v>
      </c>
      <c r="Y75" s="258">
        <f t="shared" si="8"/>
        <v>0.23368572582860708</v>
      </c>
      <c r="AS75" s="190" t="s">
        <v>1108</v>
      </c>
    </row>
    <row r="76" spans="1:52" ht="17" thickBot="1">
      <c r="A76" s="259">
        <v>25</v>
      </c>
      <c r="B76" s="260">
        <v>20</v>
      </c>
      <c r="C76" s="260" t="s">
        <v>214</v>
      </c>
      <c r="D76" s="262">
        <v>12</v>
      </c>
      <c r="E76" s="263">
        <v>12097</v>
      </c>
      <c r="F76" s="264">
        <v>14512.9653742841</v>
      </c>
      <c r="G76" s="264">
        <v>490.32660563991249</v>
      </c>
      <c r="H76" s="264">
        <v>2988.3893817559865</v>
      </c>
      <c r="I76" s="264">
        <v>77.949332289595887</v>
      </c>
      <c r="J76" s="263"/>
      <c r="K76" s="265"/>
      <c r="Q76" s="263"/>
      <c r="T76" s="443"/>
      <c r="U76" s="262">
        <v>1</v>
      </c>
      <c r="V76" s="263">
        <f t="shared" si="9"/>
        <v>1.0447094304665192</v>
      </c>
      <c r="W76" s="263">
        <f t="shared" si="8"/>
        <v>2.5028409066647685</v>
      </c>
      <c r="X76" s="263">
        <f t="shared" si="8"/>
        <v>43.03445654182466</v>
      </c>
      <c r="Y76" s="265">
        <f t="shared" si="8"/>
        <v>16.059459945874618</v>
      </c>
      <c r="AT76" s="441" t="s">
        <v>1105</v>
      </c>
      <c r="AU76" s="441"/>
      <c r="AV76" s="441"/>
      <c r="AW76" s="441"/>
      <c r="AX76" s="441"/>
      <c r="AY76" s="441"/>
      <c r="AZ76" s="441"/>
    </row>
    <row r="77" spans="1:52" ht="17" thickBot="1">
      <c r="A77" s="259">
        <v>35</v>
      </c>
      <c r="B77" s="260">
        <v>0</v>
      </c>
      <c r="C77" s="260" t="s">
        <v>214</v>
      </c>
      <c r="D77" s="262">
        <v>12</v>
      </c>
      <c r="E77" s="263">
        <v>15192</v>
      </c>
      <c r="F77" s="264">
        <v>14522.952922557648</v>
      </c>
      <c r="G77" s="264">
        <v>413.87424144477507</v>
      </c>
      <c r="H77" s="264">
        <v>3483.2629797143459</v>
      </c>
      <c r="I77" s="264">
        <v>120.94943487126733</v>
      </c>
      <c r="J77" s="263"/>
      <c r="K77" s="265"/>
      <c r="Q77" s="263"/>
      <c r="T77" s="443"/>
      <c r="U77" s="262">
        <v>5</v>
      </c>
      <c r="V77" s="263">
        <f t="shared" si="9"/>
        <v>1.0571851275533046</v>
      </c>
      <c r="W77" s="263">
        <f t="shared" si="8"/>
        <v>2.1786226897477698</v>
      </c>
      <c r="X77" s="263">
        <f t="shared" si="8"/>
        <v>30.580145799801755</v>
      </c>
      <c r="Y77" s="265">
        <f t="shared" si="8"/>
        <v>17.292652477518107</v>
      </c>
      <c r="AS77" s="269"/>
      <c r="AT77" s="256">
        <v>0.01</v>
      </c>
      <c r="AU77" s="256">
        <v>0.1</v>
      </c>
      <c r="AV77" s="256">
        <v>1</v>
      </c>
      <c r="AW77" s="256">
        <v>5</v>
      </c>
      <c r="AX77" s="256">
        <v>15</v>
      </c>
      <c r="AY77" s="256">
        <v>25</v>
      </c>
      <c r="AZ77" s="258">
        <v>35</v>
      </c>
    </row>
    <row r="78" spans="1:52">
      <c r="A78" s="259">
        <v>35</v>
      </c>
      <c r="B78" s="260">
        <v>1</v>
      </c>
      <c r="C78" s="260" t="s">
        <v>214</v>
      </c>
      <c r="D78" s="262">
        <v>12</v>
      </c>
      <c r="E78" s="263">
        <v>12949</v>
      </c>
      <c r="F78" s="264">
        <v>14615.522701313441</v>
      </c>
      <c r="G78" s="264">
        <v>356.50168134628507</v>
      </c>
      <c r="H78" s="264">
        <v>3064.689818088847</v>
      </c>
      <c r="I78" s="264">
        <v>84.089986588755806</v>
      </c>
      <c r="J78" s="263"/>
      <c r="K78" s="265"/>
      <c r="Q78" s="263"/>
      <c r="T78" s="443"/>
      <c r="U78" s="262">
        <v>10</v>
      </c>
      <c r="V78" s="263">
        <f t="shared" si="9"/>
        <v>0.96733464513842016</v>
      </c>
      <c r="W78" s="263">
        <f t="shared" si="8"/>
        <v>1.3688858781225746</v>
      </c>
      <c r="X78" s="263">
        <f t="shared" si="8"/>
        <v>15.424245469951119</v>
      </c>
      <c r="Y78" s="265">
        <f t="shared" si="8"/>
        <v>8.347544591336824</v>
      </c>
      <c r="AR78" s="447" t="s">
        <v>1106</v>
      </c>
      <c r="AS78" s="273">
        <v>0</v>
      </c>
      <c r="AT78" s="269">
        <v>0.67182775432893449</v>
      </c>
      <c r="AU78" s="256">
        <v>0.93966228311487543</v>
      </c>
      <c r="AV78" s="256">
        <v>4.5696508782623368</v>
      </c>
      <c r="AW78" s="256">
        <v>0.29451973207881049</v>
      </c>
      <c r="AX78" s="256">
        <v>0.23368572582860708</v>
      </c>
      <c r="AY78" s="256">
        <v>6.6924278705716808E-2</v>
      </c>
      <c r="AZ78" s="258">
        <v>1.9806135852198488E-2</v>
      </c>
    </row>
    <row r="79" spans="1:52" ht="17" thickBot="1">
      <c r="A79" s="259">
        <v>35</v>
      </c>
      <c r="B79" s="260">
        <v>5</v>
      </c>
      <c r="C79" s="260" t="s">
        <v>214</v>
      </c>
      <c r="D79" s="262">
        <v>12</v>
      </c>
      <c r="E79" s="263">
        <v>11566</v>
      </c>
      <c r="F79" s="264">
        <v>14932.578858213265</v>
      </c>
      <c r="G79" s="264">
        <v>624.35543583034359</v>
      </c>
      <c r="H79" s="264">
        <v>3072.9258557506309</v>
      </c>
      <c r="I79" s="264">
        <v>121.86465641304677</v>
      </c>
      <c r="J79" s="263"/>
      <c r="K79" s="265"/>
      <c r="Q79" s="263"/>
      <c r="T79" s="445"/>
      <c r="U79" s="278">
        <v>20</v>
      </c>
      <c r="V79" s="276">
        <f t="shared" si="9"/>
        <v>0.98338581562737548</v>
      </c>
      <c r="W79" s="276">
        <f t="shared" si="8"/>
        <v>1.3927061396981595</v>
      </c>
      <c r="X79" s="276">
        <f t="shared" si="8"/>
        <v>10.044244299640861</v>
      </c>
      <c r="Y79" s="274">
        <f t="shared" si="8"/>
        <v>5.2417930192768134</v>
      </c>
      <c r="AR79" s="447"/>
      <c r="AS79" s="273">
        <v>1</v>
      </c>
      <c r="AT79" s="273">
        <v>0.74086661457829606</v>
      </c>
      <c r="AU79" s="263">
        <v>0.84376645589335519</v>
      </c>
      <c r="AV79" s="263">
        <v>4.1792851906416404</v>
      </c>
      <c r="AW79" s="263">
        <v>20.268957699601</v>
      </c>
      <c r="AX79" s="263">
        <v>16.059459945874618</v>
      </c>
      <c r="AY79" s="263">
        <v>12.992770618626343</v>
      </c>
      <c r="AZ79" s="265">
        <v>9.3601098888740442</v>
      </c>
    </row>
    <row r="80" spans="1:52">
      <c r="A80" s="259">
        <v>35</v>
      </c>
      <c r="B80" s="260">
        <v>10</v>
      </c>
      <c r="C80" s="260" t="s">
        <v>214</v>
      </c>
      <c r="D80" s="262">
        <v>12</v>
      </c>
      <c r="E80" s="263">
        <v>15395</v>
      </c>
      <c r="F80" s="264">
        <v>15621.928383863898</v>
      </c>
      <c r="G80" s="264">
        <v>224.79091373081528</v>
      </c>
      <c r="H80" s="264">
        <v>2949.9262149636602</v>
      </c>
      <c r="I80" s="264">
        <v>109.86272807068303</v>
      </c>
      <c r="J80" s="263"/>
      <c r="K80" s="265"/>
      <c r="Q80" s="263"/>
      <c r="T80" s="446">
        <v>25</v>
      </c>
      <c r="U80" s="255">
        <v>0</v>
      </c>
      <c r="V80" s="256">
        <f t="shared" si="9"/>
        <v>1.0461492926598566</v>
      </c>
      <c r="W80" s="256">
        <f t="shared" si="8"/>
        <v>1.5422626144609475</v>
      </c>
      <c r="X80" s="256">
        <f t="shared" si="8"/>
        <v>0.43529492992921687</v>
      </c>
      <c r="Y80" s="258">
        <f t="shared" si="8"/>
        <v>6.6924278705716808E-2</v>
      </c>
      <c r="AR80" s="447"/>
      <c r="AS80" s="273">
        <v>5</v>
      </c>
      <c r="AT80" s="273">
        <v>0.7172334122013363</v>
      </c>
      <c r="AU80" s="263">
        <v>0.84595849507579735</v>
      </c>
      <c r="AV80" s="263">
        <v>4.5413212856778333</v>
      </c>
      <c r="AW80" s="263">
        <v>5.0906534329766213</v>
      </c>
      <c r="AX80" s="263">
        <v>17.292652477518107</v>
      </c>
      <c r="AY80" s="263">
        <v>29.536066988837611</v>
      </c>
      <c r="AZ80" s="265">
        <v>39.895570276490105</v>
      </c>
    </row>
    <row r="81" spans="1:52" ht="17" thickBot="1">
      <c r="A81" s="277">
        <v>35</v>
      </c>
      <c r="B81" s="261">
        <v>20</v>
      </c>
      <c r="C81" s="261" t="s">
        <v>214</v>
      </c>
      <c r="D81" s="278">
        <v>12</v>
      </c>
      <c r="E81" s="276">
        <v>11694</v>
      </c>
      <c r="F81" s="279">
        <v>14896.307363076232</v>
      </c>
      <c r="G81" s="279">
        <v>799.04096233820542</v>
      </c>
      <c r="H81" s="279">
        <v>3010.3281799115061</v>
      </c>
      <c r="I81" s="279">
        <v>99.535677983225099</v>
      </c>
      <c r="J81" s="276"/>
      <c r="K81" s="274"/>
      <c r="Q81" s="263"/>
      <c r="T81" s="443"/>
      <c r="U81" s="262">
        <v>1</v>
      </c>
      <c r="V81" s="263">
        <f t="shared" si="9"/>
        <v>0.95001156342014337</v>
      </c>
      <c r="W81" s="263">
        <f t="shared" si="8"/>
        <v>2.6499239094541993</v>
      </c>
      <c r="X81" s="263">
        <f t="shared" si="8"/>
        <v>26.744384515890925</v>
      </c>
      <c r="Y81" s="265">
        <f t="shared" si="8"/>
        <v>12.992770618626343</v>
      </c>
      <c r="AR81" s="447"/>
      <c r="AS81" s="273">
        <v>10</v>
      </c>
      <c r="AT81" s="273">
        <v>0.64581147525162419</v>
      </c>
      <c r="AU81" s="263">
        <v>0.71581723165894762</v>
      </c>
      <c r="AV81" s="263">
        <v>3.3664875660595852</v>
      </c>
      <c r="AW81" s="263">
        <v>3.1544695454251461</v>
      </c>
      <c r="AX81" s="263">
        <v>8.347544591336824</v>
      </c>
      <c r="AY81" s="263">
        <v>21.775895968989051</v>
      </c>
      <c r="AZ81" s="265">
        <v>31.368191507667429</v>
      </c>
    </row>
    <row r="82" spans="1:52">
      <c r="A82" s="253">
        <v>5</v>
      </c>
      <c r="B82" s="254">
        <v>0</v>
      </c>
      <c r="C82" s="254" t="s">
        <v>213</v>
      </c>
      <c r="D82" s="255">
        <v>48</v>
      </c>
      <c r="E82" s="256">
        <v>147051</v>
      </c>
      <c r="F82" s="257">
        <v>8108294.4670404131</v>
      </c>
      <c r="G82" s="257">
        <v>559580.60928649793</v>
      </c>
      <c r="H82" s="257">
        <v>422272.92536276957</v>
      </c>
      <c r="I82" s="257">
        <v>30261.157824464903</v>
      </c>
      <c r="J82" s="256">
        <v>-2.9494580884669412</v>
      </c>
      <c r="K82" s="258">
        <v>-6.0666576789874727</v>
      </c>
      <c r="L82" s="190">
        <f t="shared" si="3"/>
        <v>-3.1171995905205314</v>
      </c>
      <c r="Q82" s="263"/>
      <c r="T82" s="443"/>
      <c r="U82" s="262">
        <v>5</v>
      </c>
      <c r="V82" s="263">
        <f t="shared" si="9"/>
        <v>1.0872370228434511</v>
      </c>
      <c r="W82" s="263">
        <f t="shared" si="8"/>
        <v>1.7426564520435697</v>
      </c>
      <c r="X82" s="263">
        <f t="shared" si="8"/>
        <v>37.868166060003134</v>
      </c>
      <c r="Y82" s="265">
        <f t="shared" si="8"/>
        <v>29.536066988837611</v>
      </c>
      <c r="AR82" s="447"/>
      <c r="AS82" s="273">
        <v>20</v>
      </c>
      <c r="AT82" s="273">
        <v>0.7230139817229555</v>
      </c>
      <c r="AU82" s="263">
        <v>0.71388569802508972</v>
      </c>
      <c r="AV82" s="263">
        <v>1.9474719742521309</v>
      </c>
      <c r="AW82" s="263">
        <v>2.1352671542979342</v>
      </c>
      <c r="AX82" s="263">
        <v>5.2417930192768134</v>
      </c>
      <c r="AY82" s="263">
        <v>16.276748848604861</v>
      </c>
      <c r="AZ82" s="265">
        <v>12.707778018617077</v>
      </c>
    </row>
    <row r="83" spans="1:52" ht="17" thickBot="1">
      <c r="A83" s="259">
        <v>5</v>
      </c>
      <c r="B83" s="260">
        <v>1</v>
      </c>
      <c r="C83" s="260" t="s">
        <v>213</v>
      </c>
      <c r="D83" s="262">
        <v>48</v>
      </c>
      <c r="E83" s="263">
        <v>108276</v>
      </c>
      <c r="F83" s="264">
        <v>9301878.7180117443</v>
      </c>
      <c r="G83" s="264">
        <v>1612454.8754890549</v>
      </c>
      <c r="H83" s="264">
        <v>237973.87853696672</v>
      </c>
      <c r="I83" s="264">
        <v>48901.66172672325</v>
      </c>
      <c r="J83" s="263">
        <v>-2.6715391148217744</v>
      </c>
      <c r="K83" s="265">
        <v>-3.9715893467131669</v>
      </c>
      <c r="L83" s="190">
        <f t="shared" si="3"/>
        <v>-1.3000502318913925</v>
      </c>
      <c r="Q83" s="263"/>
      <c r="T83" s="443"/>
      <c r="U83" s="262">
        <v>10</v>
      </c>
      <c r="V83" s="263">
        <f t="shared" si="9"/>
        <v>1.1024060266750535</v>
      </c>
      <c r="W83" s="263">
        <f t="shared" si="8"/>
        <v>1.6192129263921502</v>
      </c>
      <c r="X83" s="263">
        <f t="shared" si="8"/>
        <v>25.370850644110607</v>
      </c>
      <c r="Y83" s="265">
        <f t="shared" si="8"/>
        <v>21.775895968989051</v>
      </c>
      <c r="AR83" s="447"/>
      <c r="AS83" s="275">
        <v>50</v>
      </c>
      <c r="AT83" s="275">
        <v>0.72056666557794291</v>
      </c>
      <c r="AU83" s="276">
        <v>0.70290242005365167</v>
      </c>
      <c r="AV83" s="276">
        <v>0.97466213134347668</v>
      </c>
      <c r="AW83" s="282"/>
      <c r="AX83" s="282"/>
      <c r="AY83" s="282"/>
      <c r="AZ83" s="283"/>
    </row>
    <row r="84" spans="1:52" ht="17" thickBot="1">
      <c r="A84" s="259">
        <v>5</v>
      </c>
      <c r="B84" s="260">
        <v>5</v>
      </c>
      <c r="C84" s="260" t="s">
        <v>213</v>
      </c>
      <c r="D84" s="262">
        <v>48</v>
      </c>
      <c r="E84" s="263">
        <v>66015</v>
      </c>
      <c r="F84" s="264">
        <v>11377554.07719066</v>
      </c>
      <c r="G84" s="264">
        <v>895848.42477153579</v>
      </c>
      <c r="H84" s="264">
        <v>74280.147664009943</v>
      </c>
      <c r="I84" s="264">
        <v>7706.8519574368911</v>
      </c>
      <c r="J84" s="263">
        <v>-2.009856921580496</v>
      </c>
      <c r="K84" s="265">
        <v>-6.5229701550829011</v>
      </c>
      <c r="L84" s="190">
        <f t="shared" si="3"/>
        <v>-4.5131132335024056</v>
      </c>
      <c r="Q84" s="263"/>
      <c r="T84" s="445"/>
      <c r="U84" s="278">
        <v>20</v>
      </c>
      <c r="V84" s="276">
        <f t="shared" si="9"/>
        <v>1.1100171389266671</v>
      </c>
      <c r="W84" s="276">
        <f t="shared" si="8"/>
        <v>1.4192986333503104</v>
      </c>
      <c r="X84" s="276">
        <f t="shared" si="8"/>
        <v>18.684887621841856</v>
      </c>
      <c r="Y84" s="274">
        <f t="shared" si="8"/>
        <v>16.276748848604861</v>
      </c>
    </row>
    <row r="85" spans="1:52">
      <c r="A85" s="259">
        <v>5</v>
      </c>
      <c r="B85" s="260">
        <v>10</v>
      </c>
      <c r="C85" s="260" t="s">
        <v>213</v>
      </c>
      <c r="D85" s="262">
        <v>48</v>
      </c>
      <c r="E85" s="263">
        <v>83738</v>
      </c>
      <c r="F85" s="264">
        <v>11422813.649506981</v>
      </c>
      <c r="G85" s="264">
        <v>807214.15933692351</v>
      </c>
      <c r="H85" s="264">
        <v>41470.218220971634</v>
      </c>
      <c r="I85" s="264">
        <v>2898.7780550663242</v>
      </c>
      <c r="J85" s="263">
        <v>-2.102011815543642</v>
      </c>
      <c r="K85" s="265">
        <v>-7.8818091129364305</v>
      </c>
      <c r="L85" s="190">
        <f t="shared" si="3"/>
        <v>-5.779797297392788</v>
      </c>
      <c r="Q85" s="263"/>
      <c r="T85" s="446">
        <v>35</v>
      </c>
      <c r="U85" s="255">
        <v>0</v>
      </c>
      <c r="V85" s="256">
        <f t="shared" si="9"/>
        <v>1.1416465546378975</v>
      </c>
      <c r="W85" s="256">
        <f t="shared" si="8"/>
        <v>2.0346923000889134</v>
      </c>
      <c r="X85" s="256">
        <f t="shared" si="8"/>
        <v>0.12815034945067</v>
      </c>
      <c r="Y85" s="258">
        <f t="shared" si="8"/>
        <v>1.9806135852198488E-2</v>
      </c>
    </row>
    <row r="86" spans="1:52">
      <c r="A86" s="259">
        <v>5</v>
      </c>
      <c r="B86" s="260">
        <v>20</v>
      </c>
      <c r="C86" s="260" t="s">
        <v>213</v>
      </c>
      <c r="D86" s="262">
        <v>48</v>
      </c>
      <c r="E86" s="263">
        <v>73469</v>
      </c>
      <c r="F86" s="264">
        <v>1030891.7865801859</v>
      </c>
      <c r="G86" s="264">
        <v>65726181.783334456</v>
      </c>
      <c r="H86" s="264">
        <v>12106.968945580662</v>
      </c>
      <c r="I86" s="264">
        <v>34555.417193772002</v>
      </c>
      <c r="J86" s="263">
        <v>-8.4706242968274967</v>
      </c>
      <c r="K86" s="265">
        <v>-13.658384375239844</v>
      </c>
      <c r="L86" s="190">
        <f t="shared" si="3"/>
        <v>-5.1877600784123477</v>
      </c>
      <c r="Q86" s="263"/>
      <c r="T86" s="443"/>
      <c r="U86" s="262">
        <v>1</v>
      </c>
      <c r="V86" s="263">
        <f t="shared" si="9"/>
        <v>1.1046127508224746</v>
      </c>
      <c r="W86" s="263">
        <f t="shared" si="9"/>
        <v>1.5726244540323542</v>
      </c>
      <c r="X86" s="263">
        <f t="shared" si="9"/>
        <v>21.490938073752123</v>
      </c>
      <c r="Y86" s="265">
        <f t="shared" si="9"/>
        <v>9.3601098888740442</v>
      </c>
    </row>
    <row r="87" spans="1:52">
      <c r="A87" s="259">
        <v>15</v>
      </c>
      <c r="B87" s="260">
        <v>0</v>
      </c>
      <c r="C87" s="260" t="s">
        <v>213</v>
      </c>
      <c r="D87" s="262">
        <v>48</v>
      </c>
      <c r="E87" s="263">
        <v>62336</v>
      </c>
      <c r="F87" s="264">
        <v>10134156.689328436</v>
      </c>
      <c r="G87" s="264">
        <v>2104899.333344108</v>
      </c>
      <c r="H87" s="264">
        <v>797520.94247658201</v>
      </c>
      <c r="I87" s="264">
        <v>223875.52662073565</v>
      </c>
      <c r="J87" s="263">
        <v>-1.8969879697300271</v>
      </c>
      <c r="K87" s="265">
        <v>-8.2767471413178484</v>
      </c>
      <c r="L87" s="190">
        <f t="shared" si="3"/>
        <v>-6.3797591715878212</v>
      </c>
      <c r="T87" s="443"/>
      <c r="U87" s="262">
        <v>5</v>
      </c>
      <c r="V87" s="263">
        <f t="shared" si="9"/>
        <v>1.0742585224437595</v>
      </c>
      <c r="W87" s="263">
        <f t="shared" si="9"/>
        <v>1.4632562316774154</v>
      </c>
      <c r="X87" s="263">
        <f t="shared" si="9"/>
        <v>55.231137347802452</v>
      </c>
      <c r="Y87" s="265">
        <f t="shared" si="9"/>
        <v>39.895570276490105</v>
      </c>
    </row>
    <row r="88" spans="1:52">
      <c r="A88" s="259">
        <v>15</v>
      </c>
      <c r="B88" s="260">
        <v>1</v>
      </c>
      <c r="C88" s="260" t="s">
        <v>213</v>
      </c>
      <c r="D88" s="262">
        <v>48</v>
      </c>
      <c r="E88" s="263">
        <v>48577</v>
      </c>
      <c r="F88" s="264">
        <v>11973160.691673271</v>
      </c>
      <c r="G88" s="264">
        <v>724336.87697870925</v>
      </c>
      <c r="H88" s="264">
        <v>706718.73209473654</v>
      </c>
      <c r="I88" s="264">
        <v>93618.047635424431</v>
      </c>
      <c r="J88" s="263">
        <v>-1.7409936892249533</v>
      </c>
      <c r="K88" s="265">
        <v>-2.1289904262357617</v>
      </c>
      <c r="L88" s="190">
        <f t="shared" si="3"/>
        <v>-0.38799673701080839</v>
      </c>
      <c r="T88" s="443"/>
      <c r="U88" s="262">
        <v>10</v>
      </c>
      <c r="V88" s="263">
        <f t="shared" si="9"/>
        <v>1.0399228737672064</v>
      </c>
      <c r="W88" s="263">
        <f t="shared" si="9"/>
        <v>1.6401972338361155</v>
      </c>
      <c r="X88" s="263">
        <f t="shared" si="9"/>
        <v>33.804463337367466</v>
      </c>
      <c r="Y88" s="265">
        <f t="shared" si="9"/>
        <v>31.368191507667429</v>
      </c>
    </row>
    <row r="89" spans="1:52" ht="17" thickBot="1">
      <c r="A89" s="259">
        <v>15</v>
      </c>
      <c r="B89" s="260">
        <v>5</v>
      </c>
      <c r="C89" s="260" t="s">
        <v>213</v>
      </c>
      <c r="D89" s="262">
        <v>48</v>
      </c>
      <c r="E89" s="263">
        <v>49676</v>
      </c>
      <c r="F89" s="264">
        <v>12270062.541179288</v>
      </c>
      <c r="G89" s="264">
        <v>770658.35414196411</v>
      </c>
      <c r="H89" s="264">
        <v>318275.58414724423</v>
      </c>
      <c r="I89" s="264">
        <v>30378.377897089049</v>
      </c>
      <c r="J89" s="263">
        <v>-1.6870913401336753</v>
      </c>
      <c r="K89" s="265">
        <v>-2.9148144743213784</v>
      </c>
      <c r="L89" s="190">
        <f t="shared" si="3"/>
        <v>-1.2277231341877031</v>
      </c>
      <c r="T89" s="445"/>
      <c r="U89" s="278">
        <v>20</v>
      </c>
      <c r="V89" s="276">
        <f t="shared" si="9"/>
        <v>1.1128593559995958</v>
      </c>
      <c r="W89" s="276">
        <f t="shared" si="9"/>
        <v>1.2988772859168447</v>
      </c>
      <c r="X89" s="276">
        <f t="shared" si="9"/>
        <v>24.010928135944106</v>
      </c>
      <c r="Y89" s="274">
        <f t="shared" si="9"/>
        <v>12.707778018617077</v>
      </c>
    </row>
    <row r="90" spans="1:52">
      <c r="A90" s="259">
        <v>15</v>
      </c>
      <c r="B90" s="260">
        <v>10</v>
      </c>
      <c r="C90" s="260" t="s">
        <v>213</v>
      </c>
      <c r="D90" s="262">
        <v>48</v>
      </c>
      <c r="E90" s="263">
        <v>136341</v>
      </c>
      <c r="F90" s="264">
        <v>7887222.9406035552</v>
      </c>
      <c r="G90" s="264">
        <v>982998.33446349134</v>
      </c>
      <c r="H90" s="264">
        <v>162909.29167273163</v>
      </c>
      <c r="I90" s="264">
        <v>25310.899096239882</v>
      </c>
      <c r="J90" s="263">
        <v>-3.2069575639161507</v>
      </c>
      <c r="K90" s="265">
        <v>-4.5046541010652827</v>
      </c>
      <c r="L90" s="190">
        <f t="shared" si="3"/>
        <v>-1.297696537149132</v>
      </c>
      <c r="AC90" s="263"/>
    </row>
    <row r="91" spans="1:52">
      <c r="A91" s="259">
        <v>15</v>
      </c>
      <c r="B91" s="260">
        <v>20</v>
      </c>
      <c r="C91" s="260" t="s">
        <v>213</v>
      </c>
      <c r="D91" s="262">
        <v>48</v>
      </c>
      <c r="E91" s="263">
        <v>74260</v>
      </c>
      <c r="F91" s="264">
        <v>9215368.2844574191</v>
      </c>
      <c r="G91" s="264">
        <v>82065.642474827488</v>
      </c>
      <c r="H91" s="264">
        <v>101368.94819459472</v>
      </c>
      <c r="I91" s="264">
        <v>7117.2046469501074</v>
      </c>
      <c r="J91" s="263">
        <v>-2.6939477715230287</v>
      </c>
      <c r="K91" s="265">
        <v>-5.5045332213293641</v>
      </c>
      <c r="L91" s="190">
        <f t="shared" si="3"/>
        <v>-2.8105854498063354</v>
      </c>
      <c r="AC91" s="263"/>
      <c r="AD91" s="263"/>
      <c r="AE91" s="263"/>
      <c r="AF91" s="263"/>
    </row>
    <row r="92" spans="1:52">
      <c r="A92" s="259">
        <v>25</v>
      </c>
      <c r="B92" s="260">
        <v>0</v>
      </c>
      <c r="C92" s="260" t="s">
        <v>213</v>
      </c>
      <c r="D92" s="262">
        <v>48</v>
      </c>
      <c r="E92" s="263">
        <v>61742</v>
      </c>
      <c r="F92" s="264">
        <v>7639832.7739950893</v>
      </c>
      <c r="G92" s="264">
        <v>1085255.3877188338</v>
      </c>
      <c r="H92" s="264">
        <v>827383.54503436806</v>
      </c>
      <c r="I92" s="264">
        <v>98305.654581496041</v>
      </c>
      <c r="J92" s="263">
        <v>-2.5867394491438618</v>
      </c>
      <c r="K92" s="265">
        <v>-9.5170510050947996</v>
      </c>
      <c r="L92" s="190">
        <f t="shared" si="3"/>
        <v>-6.9303115559509383</v>
      </c>
      <c r="AC92" s="263"/>
    </row>
    <row r="93" spans="1:52">
      <c r="A93" s="259">
        <v>25</v>
      </c>
      <c r="B93" s="260">
        <v>1</v>
      </c>
      <c r="C93" s="260" t="s">
        <v>213</v>
      </c>
      <c r="D93" s="262">
        <v>48</v>
      </c>
      <c r="E93" s="263">
        <v>66055</v>
      </c>
      <c r="F93" s="264">
        <v>8696508.5548991468</v>
      </c>
      <c r="G93" s="264">
        <v>598509.29655506078</v>
      </c>
      <c r="H93" s="264">
        <v>622648.79510120535</v>
      </c>
      <c r="I93" s="264">
        <v>41584.271910703828</v>
      </c>
      <c r="J93" s="263">
        <v>-3.0229399142637337</v>
      </c>
      <c r="K93" s="265">
        <v>-3.1058393537660196</v>
      </c>
      <c r="L93" s="190">
        <f t="shared" si="3"/>
        <v>-8.2899439502285954E-2</v>
      </c>
      <c r="AC93" s="263"/>
      <c r="AD93" s="263"/>
      <c r="AE93" s="263"/>
      <c r="AF93" s="263"/>
    </row>
    <row r="94" spans="1:52">
      <c r="A94" s="259">
        <v>25</v>
      </c>
      <c r="B94" s="260">
        <v>5</v>
      </c>
      <c r="C94" s="260" t="s">
        <v>213</v>
      </c>
      <c r="D94" s="262">
        <v>48</v>
      </c>
      <c r="E94" s="263">
        <v>60623</v>
      </c>
      <c r="F94" s="264">
        <v>9820490.5058288109</v>
      </c>
      <c r="G94" s="264">
        <v>1024131.8378904054</v>
      </c>
      <c r="H94" s="264">
        <v>405995.43867486744</v>
      </c>
      <c r="I94" s="264">
        <v>23239.619818079576</v>
      </c>
      <c r="J94" s="263">
        <v>-2.6218256081631255</v>
      </c>
      <c r="K94" s="265">
        <v>-2.4247862994838734</v>
      </c>
      <c r="L94" s="190">
        <f t="shared" si="3"/>
        <v>0.19703930867925212</v>
      </c>
      <c r="AC94" s="263"/>
    </row>
    <row r="95" spans="1:52">
      <c r="A95" s="259">
        <v>25</v>
      </c>
      <c r="B95" s="260">
        <v>10</v>
      </c>
      <c r="C95" s="260" t="s">
        <v>213</v>
      </c>
      <c r="D95" s="262">
        <v>48</v>
      </c>
      <c r="E95" s="263">
        <v>47841</v>
      </c>
      <c r="F95" s="264">
        <v>8643720.5372069534</v>
      </c>
      <c r="G95" s="264">
        <v>909188.4835469512</v>
      </c>
      <c r="H95" s="264">
        <v>232460.70511803939</v>
      </c>
      <c r="I95" s="264">
        <v>22177.210006421046</v>
      </c>
      <c r="J95" s="263">
        <v>-2.869735208632985</v>
      </c>
      <c r="K95" s="265">
        <v>-3.3688973318251247</v>
      </c>
      <c r="L95" s="190">
        <f t="shared" si="3"/>
        <v>-0.49916212319213971</v>
      </c>
      <c r="AC95" s="263"/>
    </row>
    <row r="96" spans="1:52">
      <c r="A96" s="259">
        <v>25</v>
      </c>
      <c r="B96" s="260">
        <v>20</v>
      </c>
      <c r="C96" s="260" t="s">
        <v>213</v>
      </c>
      <c r="D96" s="262">
        <v>48</v>
      </c>
      <c r="E96" s="263">
        <v>60930</v>
      </c>
      <c r="F96" s="264">
        <v>9590281.8116140198</v>
      </c>
      <c r="G96" s="264">
        <v>190100.85114967564</v>
      </c>
      <c r="H96" s="264">
        <v>181836.42557559838</v>
      </c>
      <c r="I96" s="264">
        <v>13458.330235839838</v>
      </c>
      <c r="J96" s="263">
        <v>-2.6338070875894841</v>
      </c>
      <c r="K96" s="265">
        <v>-3.9455696651705812</v>
      </c>
      <c r="L96" s="190">
        <f t="shared" si="3"/>
        <v>-1.311762577581097</v>
      </c>
      <c r="AC96" s="263"/>
    </row>
    <row r="97" spans="1:29">
      <c r="A97" s="259">
        <v>35</v>
      </c>
      <c r="B97" s="260">
        <v>0</v>
      </c>
      <c r="C97" s="260" t="s">
        <v>213</v>
      </c>
      <c r="D97" s="262">
        <v>48</v>
      </c>
      <c r="E97" s="260">
        <v>52862</v>
      </c>
      <c r="F97" s="264">
        <v>5943002.832265934</v>
      </c>
      <c r="G97" s="264">
        <v>674811.73538379127</v>
      </c>
      <c r="H97" s="264">
        <v>711671.49199743918</v>
      </c>
      <c r="I97" s="264">
        <v>106338.4290738761</v>
      </c>
      <c r="J97" s="263">
        <v>-3.3362621476553929</v>
      </c>
      <c r="K97" s="265">
        <v>-12.52299130408421</v>
      </c>
      <c r="L97" s="190">
        <f t="shared" si="3"/>
        <v>-9.1867291564288163</v>
      </c>
      <c r="AC97" s="263"/>
    </row>
    <row r="98" spans="1:29">
      <c r="A98" s="259">
        <v>35</v>
      </c>
      <c r="B98" s="260">
        <v>1</v>
      </c>
      <c r="C98" s="260" t="s">
        <v>213</v>
      </c>
      <c r="D98" s="262">
        <v>48</v>
      </c>
      <c r="E98" s="260">
        <v>105913</v>
      </c>
      <c r="F98" s="264">
        <v>7191506.7640839573</v>
      </c>
      <c r="G98" s="264">
        <v>1115275.2576889065</v>
      </c>
      <c r="H98" s="264">
        <v>666989.44508554437</v>
      </c>
      <c r="I98" s="264">
        <v>80774.342327137594</v>
      </c>
      <c r="J98" s="263">
        <v>-3.4410653934796591</v>
      </c>
      <c r="K98" s="265">
        <v>-3.3262229502685248</v>
      </c>
      <c r="L98" s="190">
        <f t="shared" si="3"/>
        <v>0.11484244321113435</v>
      </c>
      <c r="AC98" s="263"/>
    </row>
    <row r="99" spans="1:29">
      <c r="A99" s="259">
        <v>35</v>
      </c>
      <c r="B99" s="260">
        <v>5</v>
      </c>
      <c r="C99" s="260" t="s">
        <v>213</v>
      </c>
      <c r="D99" s="262">
        <v>48</v>
      </c>
      <c r="E99" s="260">
        <v>86980</v>
      </c>
      <c r="F99" s="264">
        <v>8205383.9604130676</v>
      </c>
      <c r="G99" s="264">
        <v>1452527.5037963244</v>
      </c>
      <c r="H99" s="264">
        <v>452974.17182967946</v>
      </c>
      <c r="I99" s="264">
        <v>30929.856286321577</v>
      </c>
      <c r="J99" s="263">
        <v>-2.0078413974637379</v>
      </c>
      <c r="K99" s="265">
        <v>-1.9800047219509875</v>
      </c>
      <c r="L99" s="190">
        <f t="shared" si="3"/>
        <v>2.7836675512750375E-2</v>
      </c>
      <c r="N99" s="190">
        <v>5</v>
      </c>
      <c r="AC99" s="263"/>
    </row>
    <row r="100" spans="1:29" ht="17" thickBot="1">
      <c r="A100" s="259">
        <v>35</v>
      </c>
      <c r="B100" s="260">
        <v>10</v>
      </c>
      <c r="C100" s="260" t="s">
        <v>213</v>
      </c>
      <c r="D100" s="262">
        <v>48</v>
      </c>
      <c r="E100" s="260">
        <v>55601</v>
      </c>
      <c r="F100" s="264">
        <v>9209834.9819495045</v>
      </c>
      <c r="G100" s="264">
        <v>2093731.6616081989</v>
      </c>
      <c r="H100" s="264">
        <v>362243.87006932596</v>
      </c>
      <c r="I100" s="264">
        <v>43511.449444116472</v>
      </c>
      <c r="J100" s="263">
        <v>-2.8064396765521495</v>
      </c>
      <c r="K100" s="265">
        <v>-2.670709295158292</v>
      </c>
      <c r="L100" s="190">
        <f t="shared" si="3"/>
        <v>0.13573038139385751</v>
      </c>
      <c r="AC100" s="263"/>
    </row>
    <row r="101" spans="1:29" ht="17" thickBot="1">
      <c r="A101" s="259">
        <v>35</v>
      </c>
      <c r="B101" s="260">
        <v>20</v>
      </c>
      <c r="C101" s="260" t="s">
        <v>213</v>
      </c>
      <c r="D101" s="262">
        <v>48</v>
      </c>
      <c r="E101" s="260">
        <v>39108</v>
      </c>
      <c r="F101" s="264">
        <v>9460777.4272305518</v>
      </c>
      <c r="G101" s="264">
        <v>2067541.9732606455</v>
      </c>
      <c r="H101" s="264">
        <v>270059.94758710527</v>
      </c>
      <c r="I101" s="264">
        <v>15654.360796407547</v>
      </c>
      <c r="J101" s="263">
        <v>-2.866317619745292</v>
      </c>
      <c r="K101" s="265">
        <v>-3.2572734406937287</v>
      </c>
      <c r="L101" s="190">
        <f t="shared" si="3"/>
        <v>-0.39095582094843673</v>
      </c>
      <c r="X101" s="284" t="s">
        <v>420</v>
      </c>
      <c r="Y101" s="285" t="s">
        <v>421</v>
      </c>
      <c r="Z101" s="285">
        <v>6</v>
      </c>
      <c r="AA101" s="285">
        <v>12</v>
      </c>
      <c r="AB101" s="285">
        <v>48</v>
      </c>
      <c r="AC101" s="286">
        <v>96</v>
      </c>
    </row>
    <row r="102" spans="1:29">
      <c r="A102" s="259">
        <v>5</v>
      </c>
      <c r="B102" s="260">
        <v>0</v>
      </c>
      <c r="C102" s="260" t="s">
        <v>214</v>
      </c>
      <c r="D102" s="262">
        <v>48</v>
      </c>
      <c r="E102" s="263">
        <v>47735</v>
      </c>
      <c r="F102" s="264">
        <v>145452.93419108135</v>
      </c>
      <c r="G102" s="264">
        <v>5729.2411264704378</v>
      </c>
      <c r="H102" s="264">
        <v>15083.747011058394</v>
      </c>
      <c r="I102" s="264">
        <v>454.97927748741915</v>
      </c>
      <c r="J102" s="263"/>
      <c r="K102" s="265"/>
      <c r="Q102" s="263"/>
      <c r="X102" s="443">
        <v>5</v>
      </c>
      <c r="Y102" s="265">
        <v>0</v>
      </c>
      <c r="Z102" s="263">
        <v>0</v>
      </c>
      <c r="AA102" s="263">
        <v>-4.1820798808953583</v>
      </c>
      <c r="AB102" s="263">
        <v>-3.1171995905205314</v>
      </c>
      <c r="AC102" s="265">
        <v>-3.6390445773786642</v>
      </c>
    </row>
    <row r="103" spans="1:29">
      <c r="A103" s="259">
        <v>5</v>
      </c>
      <c r="B103" s="260">
        <v>1</v>
      </c>
      <c r="C103" s="260" t="s">
        <v>214</v>
      </c>
      <c r="D103" s="262">
        <v>48</v>
      </c>
      <c r="E103" s="263">
        <v>45712</v>
      </c>
      <c r="F103" s="264">
        <v>156786.99844672901</v>
      </c>
      <c r="G103" s="264">
        <v>4113.6410500742231</v>
      </c>
      <c r="H103" s="264">
        <v>5540.5211022648273</v>
      </c>
      <c r="I103" s="264">
        <v>173.55845904784184</v>
      </c>
      <c r="J103" s="263"/>
      <c r="K103" s="265"/>
      <c r="Q103" s="263"/>
      <c r="X103" s="443"/>
      <c r="Y103" s="265">
        <v>1</v>
      </c>
      <c r="Z103" s="263">
        <v>0</v>
      </c>
      <c r="AA103" s="263">
        <v>-7.6762342128377643</v>
      </c>
      <c r="AB103" s="263">
        <v>-1.3000502318913925</v>
      </c>
      <c r="AC103" s="265">
        <v>-1.2816068114330004</v>
      </c>
    </row>
    <row r="104" spans="1:29">
      <c r="A104" s="259">
        <v>5</v>
      </c>
      <c r="B104" s="260">
        <v>5</v>
      </c>
      <c r="C104" s="260" t="s">
        <v>214</v>
      </c>
      <c r="D104" s="262">
        <v>48</v>
      </c>
      <c r="E104" s="263">
        <v>36584</v>
      </c>
      <c r="F104" s="264">
        <v>144313.65027861332</v>
      </c>
      <c r="G104" s="264">
        <v>9476.9327231254993</v>
      </c>
      <c r="H104" s="264">
        <v>5210.7228919400559</v>
      </c>
      <c r="I104" s="264">
        <v>84.575753085745134</v>
      </c>
      <c r="J104" s="263"/>
      <c r="K104" s="265"/>
      <c r="Q104" s="263"/>
      <c r="X104" s="443"/>
      <c r="Y104" s="265">
        <v>5</v>
      </c>
      <c r="Z104" s="263">
        <v>0</v>
      </c>
      <c r="AA104" s="263">
        <v>-13.183439062707814</v>
      </c>
      <c r="AB104" s="263">
        <v>-4.5131132335024056</v>
      </c>
      <c r="AC104" s="265">
        <v>-4.4089241921528668</v>
      </c>
    </row>
    <row r="105" spans="1:29">
      <c r="A105" s="259">
        <v>5</v>
      </c>
      <c r="B105" s="260">
        <v>10</v>
      </c>
      <c r="C105" s="260" t="s">
        <v>214</v>
      </c>
      <c r="D105" s="262">
        <v>48</v>
      </c>
      <c r="E105" s="263">
        <v>50192</v>
      </c>
      <c r="F105" s="264">
        <v>156656.68826002252</v>
      </c>
      <c r="G105" s="264">
        <v>9007.4121232758644</v>
      </c>
      <c r="H105" s="264">
        <v>4792.824396990869</v>
      </c>
      <c r="I105" s="264">
        <v>82.458532954490366</v>
      </c>
      <c r="J105" s="263"/>
      <c r="K105" s="265"/>
      <c r="Q105" s="263"/>
      <c r="X105" s="443"/>
      <c r="Y105" s="265">
        <v>10</v>
      </c>
      <c r="Z105" s="263">
        <v>0</v>
      </c>
      <c r="AA105" s="263">
        <v>-17.156583047084201</v>
      </c>
      <c r="AB105" s="263">
        <v>-5.779797297392788</v>
      </c>
      <c r="AC105" s="265">
        <v>-5.9484344616196347</v>
      </c>
    </row>
    <row r="106" spans="1:29">
      <c r="A106" s="259">
        <v>5</v>
      </c>
      <c r="B106" s="260">
        <v>20</v>
      </c>
      <c r="C106" s="260" t="s">
        <v>214</v>
      </c>
      <c r="D106" s="262">
        <v>48</v>
      </c>
      <c r="E106" s="263">
        <v>125457</v>
      </c>
      <c r="F106" s="264">
        <v>143901.52277290617</v>
      </c>
      <c r="G106" s="264">
        <v>13240.02384795404</v>
      </c>
      <c r="H106" s="264">
        <v>4534.6577472824292</v>
      </c>
      <c r="I106" s="264">
        <v>221.87949738274966</v>
      </c>
      <c r="J106" s="263"/>
      <c r="K106" s="265"/>
      <c r="Q106" s="263"/>
      <c r="X106" s="444"/>
      <c r="Y106" s="287">
        <v>20</v>
      </c>
      <c r="Z106" s="288">
        <v>0</v>
      </c>
      <c r="AA106" s="288">
        <v>-12.54054978037952</v>
      </c>
      <c r="AB106" s="288">
        <v>-5.1877600784123477</v>
      </c>
      <c r="AC106" s="287">
        <v>-8.1979644943036902</v>
      </c>
    </row>
    <row r="107" spans="1:29">
      <c r="A107" s="259">
        <v>15</v>
      </c>
      <c r="B107" s="260">
        <v>0</v>
      </c>
      <c r="C107" s="260" t="s">
        <v>214</v>
      </c>
      <c r="D107" s="262">
        <v>48</v>
      </c>
      <c r="E107" s="263">
        <v>90090</v>
      </c>
      <c r="F107" s="264">
        <v>135700.0963824467</v>
      </c>
      <c r="G107" s="264">
        <v>6744.8049076314246</v>
      </c>
      <c r="H107" s="264">
        <v>50231.272140104586</v>
      </c>
      <c r="I107" s="264">
        <v>5142.5105483045545</v>
      </c>
      <c r="J107" s="263"/>
      <c r="K107" s="265"/>
      <c r="Q107" s="263"/>
      <c r="X107" s="442">
        <v>15</v>
      </c>
      <c r="Y107" s="289">
        <v>0</v>
      </c>
      <c r="Z107" s="290">
        <v>0</v>
      </c>
      <c r="AA107" s="290">
        <v>-4.04502292575485</v>
      </c>
      <c r="AB107" s="290">
        <v>-6.3797591715878212</v>
      </c>
      <c r="AC107" s="289">
        <v>-7.9835618995655269</v>
      </c>
    </row>
    <row r="108" spans="1:29">
      <c r="A108" s="259">
        <v>15</v>
      </c>
      <c r="B108" s="260">
        <v>1</v>
      </c>
      <c r="C108" s="260" t="s">
        <v>214</v>
      </c>
      <c r="D108" s="262">
        <v>48</v>
      </c>
      <c r="E108" s="263">
        <v>55776</v>
      </c>
      <c r="F108" s="264">
        <v>150026.08432635927</v>
      </c>
      <c r="G108" s="264">
        <v>5073.6244995789566</v>
      </c>
      <c r="H108" s="264">
        <v>6620.2792413103953</v>
      </c>
      <c r="I108" s="264">
        <v>201.52702668837793</v>
      </c>
      <c r="J108" s="263"/>
      <c r="K108" s="265"/>
      <c r="Q108" s="263"/>
      <c r="X108" s="443"/>
      <c r="Y108" s="265">
        <v>1</v>
      </c>
      <c r="Z108" s="263">
        <v>0</v>
      </c>
      <c r="AA108" s="263">
        <v>-3.5902041421697195</v>
      </c>
      <c r="AB108" s="263">
        <v>-0.38799673701080839</v>
      </c>
      <c r="AC108" s="265">
        <v>0.38335793780854122</v>
      </c>
    </row>
    <row r="109" spans="1:29">
      <c r="A109" s="259">
        <v>15</v>
      </c>
      <c r="B109" s="260">
        <v>5</v>
      </c>
      <c r="C109" s="260" t="s">
        <v>214</v>
      </c>
      <c r="D109" s="262">
        <v>48</v>
      </c>
      <c r="E109" s="263">
        <v>48722</v>
      </c>
      <c r="F109" s="264">
        <v>147227.10320130675</v>
      </c>
      <c r="G109" s="264">
        <v>12981.73731124645</v>
      </c>
      <c r="H109" s="264">
        <v>5283.7319713944144</v>
      </c>
      <c r="I109" s="264">
        <v>75.391883661168507</v>
      </c>
      <c r="J109" s="263"/>
      <c r="K109" s="265"/>
      <c r="Q109" s="263"/>
      <c r="X109" s="443"/>
      <c r="Y109" s="265">
        <v>5</v>
      </c>
      <c r="Z109" s="263">
        <v>0</v>
      </c>
      <c r="AA109" s="263">
        <v>-5.0984853104736487</v>
      </c>
      <c r="AB109" s="263">
        <v>-1.2277231341877031</v>
      </c>
      <c r="AC109" s="265">
        <v>-0.14979592962484478</v>
      </c>
    </row>
    <row r="110" spans="1:29">
      <c r="A110" s="259">
        <v>15</v>
      </c>
      <c r="B110" s="260">
        <v>10</v>
      </c>
      <c r="C110" s="260" t="s">
        <v>214</v>
      </c>
      <c r="D110" s="262">
        <v>48</v>
      </c>
      <c r="E110" s="263">
        <v>43977</v>
      </c>
      <c r="F110" s="264">
        <v>144279.74156806839</v>
      </c>
      <c r="G110" s="264">
        <v>5824.5023736635976</v>
      </c>
      <c r="H110" s="264">
        <v>5283.2333517327743</v>
      </c>
      <c r="I110" s="264">
        <v>248.97417276919782</v>
      </c>
      <c r="J110" s="263"/>
      <c r="K110" s="265"/>
      <c r="Q110" s="263"/>
      <c r="X110" s="443"/>
      <c r="Y110" s="265">
        <v>10</v>
      </c>
      <c r="Z110" s="263">
        <v>0</v>
      </c>
      <c r="AA110" s="263">
        <v>-9.1281558275254699</v>
      </c>
      <c r="AB110" s="263">
        <v>-1.297696537149132</v>
      </c>
      <c r="AC110" s="265">
        <v>-1.2530276058160386</v>
      </c>
    </row>
    <row r="111" spans="1:29">
      <c r="A111" s="259">
        <v>15</v>
      </c>
      <c r="B111" s="260">
        <v>20</v>
      </c>
      <c r="C111" s="260" t="s">
        <v>214</v>
      </c>
      <c r="D111" s="262">
        <v>48</v>
      </c>
      <c r="E111" s="263">
        <v>32645</v>
      </c>
      <c r="F111" s="264">
        <v>147609.75149661681</v>
      </c>
      <c r="G111" s="264">
        <v>3499.8913809265619</v>
      </c>
      <c r="H111" s="264">
        <v>5217.3427645047414</v>
      </c>
      <c r="I111" s="264">
        <v>192.94112380978194</v>
      </c>
      <c r="J111" s="263"/>
      <c r="K111" s="265"/>
      <c r="Q111" s="263"/>
      <c r="X111" s="444"/>
      <c r="Y111" s="287">
        <v>20</v>
      </c>
      <c r="Z111" s="288">
        <v>0</v>
      </c>
      <c r="AA111" s="288">
        <v>-10.01804328792586</v>
      </c>
      <c r="AB111" s="288">
        <v>-2.8105854498063354</v>
      </c>
      <c r="AC111" s="287">
        <v>-3.3933764911903559</v>
      </c>
    </row>
    <row r="112" spans="1:29">
      <c r="A112" s="259">
        <v>25</v>
      </c>
      <c r="B112" s="260">
        <v>0</v>
      </c>
      <c r="C112" s="260" t="s">
        <v>214</v>
      </c>
      <c r="D112" s="262">
        <v>48</v>
      </c>
      <c r="E112" s="263">
        <v>40370</v>
      </c>
      <c r="F112" s="264">
        <v>128775.70910679025</v>
      </c>
      <c r="G112" s="264">
        <v>6135.9526577579045</v>
      </c>
      <c r="H112" s="264">
        <v>71297.954612063724</v>
      </c>
      <c r="I112" s="264">
        <v>6860.3862825003816</v>
      </c>
      <c r="J112" s="263"/>
      <c r="K112" s="265"/>
      <c r="Q112" s="263"/>
      <c r="X112" s="442">
        <v>25</v>
      </c>
      <c r="Y112" s="289">
        <v>0</v>
      </c>
      <c r="Z112" s="290">
        <v>0</v>
      </c>
      <c r="AA112" s="290">
        <v>-0.17335026772957463</v>
      </c>
      <c r="AB112" s="290">
        <v>-6.9303115559509383</v>
      </c>
      <c r="AC112" s="289">
        <v>-10.450109827537883</v>
      </c>
    </row>
    <row r="113" spans="1:29">
      <c r="A113" s="259">
        <v>25</v>
      </c>
      <c r="B113" s="260">
        <v>1</v>
      </c>
      <c r="C113" s="260" t="s">
        <v>214</v>
      </c>
      <c r="D113" s="262">
        <v>48</v>
      </c>
      <c r="E113" s="263">
        <v>39590</v>
      </c>
      <c r="F113" s="264">
        <v>165424.56922520231</v>
      </c>
      <c r="G113" s="264">
        <v>7829.5661746769692</v>
      </c>
      <c r="H113" s="264">
        <v>8034.3584461944847</v>
      </c>
      <c r="I113" s="264">
        <v>451.85396602009848</v>
      </c>
      <c r="J113" s="263"/>
      <c r="K113" s="265"/>
      <c r="Q113" s="263"/>
      <c r="X113" s="443"/>
      <c r="Y113" s="265">
        <v>1</v>
      </c>
      <c r="Z113" s="263">
        <v>0</v>
      </c>
      <c r="AA113" s="263">
        <v>-2.691312645321819</v>
      </c>
      <c r="AB113" s="263">
        <v>-8.2899439502285954E-2</v>
      </c>
      <c r="AC113" s="265">
        <v>-6.914175953758317E-2</v>
      </c>
    </row>
    <row r="114" spans="1:29">
      <c r="A114" s="259">
        <v>25</v>
      </c>
      <c r="B114" s="260">
        <v>5</v>
      </c>
      <c r="C114" s="260" t="s">
        <v>214</v>
      </c>
      <c r="D114" s="262">
        <v>48</v>
      </c>
      <c r="E114" s="263">
        <v>129966</v>
      </c>
      <c r="F114" s="264">
        <v>162457.40684024291</v>
      </c>
      <c r="G114" s="264">
        <v>7057.0945098608363</v>
      </c>
      <c r="H114" s="264">
        <v>5164.0475248242983</v>
      </c>
      <c r="I114" s="264">
        <v>79.353589714470672</v>
      </c>
      <c r="J114" s="263"/>
      <c r="K114" s="265"/>
      <c r="N114" s="190">
        <v>15</v>
      </c>
      <c r="Q114" s="263"/>
      <c r="X114" s="443"/>
      <c r="Y114" s="265">
        <v>5</v>
      </c>
      <c r="Z114" s="263">
        <v>0</v>
      </c>
      <c r="AA114" s="263">
        <v>-6.2205925845361101</v>
      </c>
      <c r="AB114" s="263">
        <v>0.19703930867925212</v>
      </c>
      <c r="AC114" s="265">
        <v>1.090993613133592</v>
      </c>
    </row>
    <row r="115" spans="1:29">
      <c r="A115" s="259">
        <v>25</v>
      </c>
      <c r="B115" s="260">
        <v>10</v>
      </c>
      <c r="C115" s="260" t="s">
        <v>214</v>
      </c>
      <c r="D115" s="262">
        <v>48</v>
      </c>
      <c r="E115" s="263">
        <v>162014</v>
      </c>
      <c r="F115" s="264">
        <v>148001.97500567124</v>
      </c>
      <c r="G115" s="264">
        <v>10653.649303908762</v>
      </c>
      <c r="H115" s="264">
        <v>4766.5447292184617</v>
      </c>
      <c r="I115" s="264">
        <v>156.17390782274407</v>
      </c>
      <c r="J115" s="263"/>
      <c r="K115" s="265"/>
      <c r="Q115" s="263"/>
      <c r="X115" s="443"/>
      <c r="Y115" s="265">
        <v>10</v>
      </c>
      <c r="Z115" s="263">
        <v>0</v>
      </c>
      <c r="AA115" s="263">
        <v>-7.2118702179758518</v>
      </c>
      <c r="AB115" s="263">
        <v>-0.49916212319213971</v>
      </c>
      <c r="AC115" s="265">
        <v>-8.13412421048616E-2</v>
      </c>
    </row>
    <row r="116" spans="1:29">
      <c r="A116" s="259">
        <v>25</v>
      </c>
      <c r="B116" s="260">
        <v>20</v>
      </c>
      <c r="C116" s="260" t="s">
        <v>214</v>
      </c>
      <c r="D116" s="262">
        <v>48</v>
      </c>
      <c r="E116" s="263">
        <v>113521</v>
      </c>
      <c r="F116" s="264">
        <v>152799.12992022897</v>
      </c>
      <c r="G116" s="264">
        <v>9438.5405900349251</v>
      </c>
      <c r="H116" s="264">
        <v>4968.8018867762603</v>
      </c>
      <c r="I116" s="264">
        <v>135.48003561432668</v>
      </c>
      <c r="J116" s="263"/>
      <c r="K116" s="265"/>
      <c r="Q116" s="263"/>
      <c r="X116" s="444"/>
      <c r="Y116" s="287">
        <v>20</v>
      </c>
      <c r="Z116" s="288">
        <v>0</v>
      </c>
      <c r="AA116" s="288">
        <v>-8.981634838013683</v>
      </c>
      <c r="AB116" s="288">
        <v>-1.311762577581097</v>
      </c>
      <c r="AC116" s="287">
        <v>-1.4144648238189581</v>
      </c>
    </row>
    <row r="117" spans="1:29">
      <c r="A117" s="259">
        <v>35</v>
      </c>
      <c r="B117" s="260">
        <v>0</v>
      </c>
      <c r="C117" s="260" t="s">
        <v>214</v>
      </c>
      <c r="D117" s="262">
        <v>48</v>
      </c>
      <c r="E117" s="260">
        <v>73649</v>
      </c>
      <c r="F117" s="264">
        <v>129737.00993003699</v>
      </c>
      <c r="G117" s="264">
        <v>15483.263912794173</v>
      </c>
      <c r="H117" s="264">
        <v>119838.73885578997</v>
      </c>
      <c r="I117" s="264">
        <v>18175.011722801857</v>
      </c>
      <c r="J117" s="263"/>
      <c r="K117" s="265"/>
      <c r="Q117" s="263"/>
      <c r="X117" s="442">
        <v>35</v>
      </c>
      <c r="Y117" s="289">
        <v>0</v>
      </c>
      <c r="Z117" s="290">
        <v>0</v>
      </c>
      <c r="AA117" s="290">
        <v>-3.9880321197277215</v>
      </c>
      <c r="AB117" s="290">
        <v>-9.1867291564288163</v>
      </c>
      <c r="AC117" s="289">
        <v>-14.790906668047965</v>
      </c>
    </row>
    <row r="118" spans="1:29">
      <c r="A118" s="259">
        <v>35</v>
      </c>
      <c r="B118" s="260">
        <v>1</v>
      </c>
      <c r="C118" s="260" t="s">
        <v>214</v>
      </c>
      <c r="D118" s="262">
        <v>48</v>
      </c>
      <c r="E118" s="260">
        <v>117136</v>
      </c>
      <c r="F118" s="264">
        <v>154145.56674603422</v>
      </c>
      <c r="G118" s="264">
        <v>12614.750513635252</v>
      </c>
      <c r="H118" s="264">
        <v>8786.3039507673257</v>
      </c>
      <c r="I118" s="264">
        <v>698.9333221079969</v>
      </c>
      <c r="J118" s="263"/>
      <c r="K118" s="265"/>
      <c r="Q118" s="263"/>
      <c r="X118" s="443"/>
      <c r="Y118" s="265">
        <v>1</v>
      </c>
      <c r="Z118" s="263">
        <v>0</v>
      </c>
      <c r="AA118" s="263">
        <v>-2.9318903509909404</v>
      </c>
      <c r="AB118" s="263">
        <v>0.11484244321113435</v>
      </c>
      <c r="AC118" s="265">
        <v>0.12362792352531482</v>
      </c>
    </row>
    <row r="119" spans="1:29">
      <c r="A119" s="259">
        <v>35</v>
      </c>
      <c r="B119" s="260">
        <v>5</v>
      </c>
      <c r="C119" s="260" t="s">
        <v>214</v>
      </c>
      <c r="D119" s="262">
        <v>48</v>
      </c>
      <c r="E119" s="260">
        <v>85337</v>
      </c>
      <c r="F119" s="264">
        <v>92209.893743015316</v>
      </c>
      <c r="G119" s="264">
        <v>125750.00143889296</v>
      </c>
      <c r="H119" s="264">
        <v>4611.4618392484508</v>
      </c>
      <c r="I119" s="264">
        <v>796.91193399429619</v>
      </c>
      <c r="J119" s="263"/>
      <c r="K119" s="265"/>
      <c r="Q119" s="263"/>
      <c r="X119" s="443"/>
      <c r="Y119" s="265">
        <v>5</v>
      </c>
      <c r="Z119" s="263">
        <v>0</v>
      </c>
      <c r="AA119" s="263">
        <v>-5.3415423094423389</v>
      </c>
      <c r="AB119" s="263">
        <v>2.7836675512750375E-2</v>
      </c>
      <c r="AC119" s="265">
        <v>0.91530801243069382</v>
      </c>
    </row>
    <row r="120" spans="1:29">
      <c r="A120" s="259">
        <v>35</v>
      </c>
      <c r="B120" s="260">
        <v>10</v>
      </c>
      <c r="C120" s="260" t="s">
        <v>214</v>
      </c>
      <c r="D120" s="262">
        <v>48</v>
      </c>
      <c r="E120" s="260">
        <v>71688</v>
      </c>
      <c r="F120" s="264">
        <v>162600.24459202815</v>
      </c>
      <c r="G120" s="264">
        <v>6179.4136190975996</v>
      </c>
      <c r="H120" s="264">
        <v>5305.5976360520608</v>
      </c>
      <c r="I120" s="264">
        <v>69.385967936326125</v>
      </c>
      <c r="J120" s="263"/>
      <c r="K120" s="265"/>
      <c r="Q120" s="263"/>
      <c r="X120" s="443"/>
      <c r="Y120" s="265">
        <v>10</v>
      </c>
      <c r="Z120" s="263">
        <v>0</v>
      </c>
      <c r="AA120" s="263">
        <v>-5.2743451770887759</v>
      </c>
      <c r="AB120" s="263">
        <v>0.13573038139385751</v>
      </c>
      <c r="AC120" s="265">
        <v>0.13836635399270669</v>
      </c>
    </row>
    <row r="121" spans="1:29" ht="17" thickBot="1">
      <c r="A121" s="277">
        <v>35</v>
      </c>
      <c r="B121" s="261">
        <v>20</v>
      </c>
      <c r="C121" s="261" t="s">
        <v>214</v>
      </c>
      <c r="D121" s="278">
        <v>48</v>
      </c>
      <c r="E121" s="261">
        <v>80420</v>
      </c>
      <c r="F121" s="279">
        <v>171970.85602026721</v>
      </c>
      <c r="G121" s="279">
        <v>15545.673064314116</v>
      </c>
      <c r="H121" s="279">
        <v>5309.2474143054333</v>
      </c>
      <c r="I121" s="279">
        <v>208.03747975183236</v>
      </c>
      <c r="J121" s="276"/>
      <c r="K121" s="274"/>
      <c r="Q121" s="263"/>
      <c r="X121" s="445"/>
      <c r="Y121" s="274">
        <v>20</v>
      </c>
      <c r="Z121" s="276">
        <v>0</v>
      </c>
      <c r="AA121" s="276">
        <v>-7.1010300238336512</v>
      </c>
      <c r="AB121" s="276">
        <v>-0.39095582094843673</v>
      </c>
      <c r="AC121" s="274">
        <v>-0.81860219784629518</v>
      </c>
    </row>
    <row r="122" spans="1:29">
      <c r="A122" s="253">
        <v>5</v>
      </c>
      <c r="B122" s="254">
        <v>0</v>
      </c>
      <c r="C122" s="254" t="s">
        <v>213</v>
      </c>
      <c r="D122" s="255">
        <v>96</v>
      </c>
      <c r="E122" s="256">
        <v>61873</v>
      </c>
      <c r="F122" s="257">
        <v>708842.53293674462</v>
      </c>
      <c r="G122" s="257">
        <v>30584550.910108447</v>
      </c>
      <c r="H122" s="257">
        <v>160561.09012144167</v>
      </c>
      <c r="I122" s="257">
        <v>1172672.9684347499</v>
      </c>
      <c r="J122" s="256">
        <v>-11.445622694749641</v>
      </c>
      <c r="K122" s="258">
        <v>-15.084667272128305</v>
      </c>
      <c r="L122" s="190">
        <f t="shared" ref="L122:L141" si="10">K122-J122</f>
        <v>-3.6390445773786642</v>
      </c>
      <c r="Q122" s="263"/>
    </row>
    <row r="123" spans="1:29">
      <c r="A123" s="259">
        <v>5</v>
      </c>
      <c r="B123" s="260">
        <v>1</v>
      </c>
      <c r="C123" s="260" t="s">
        <v>213</v>
      </c>
      <c r="D123" s="262">
        <v>96</v>
      </c>
      <c r="E123" s="263">
        <v>77980</v>
      </c>
      <c r="F123" s="264">
        <v>6970708.905456353</v>
      </c>
      <c r="G123" s="264">
        <v>1104935.0952368183</v>
      </c>
      <c r="H123" s="264">
        <v>353989.34922113345</v>
      </c>
      <c r="I123" s="264">
        <v>69837.755816481338</v>
      </c>
      <c r="J123" s="263">
        <v>-3.0336760648231764</v>
      </c>
      <c r="K123" s="265">
        <v>-4.3152828762561768</v>
      </c>
      <c r="L123" s="190">
        <f t="shared" si="10"/>
        <v>-1.2816068114330004</v>
      </c>
    </row>
    <row r="124" spans="1:29">
      <c r="A124" s="259">
        <v>5</v>
      </c>
      <c r="B124" s="260">
        <v>5</v>
      </c>
      <c r="C124" s="260" t="s">
        <v>213</v>
      </c>
      <c r="D124" s="262">
        <v>96</v>
      </c>
      <c r="E124" s="263">
        <v>72672</v>
      </c>
      <c r="F124" s="264">
        <v>9363639.7505510692</v>
      </c>
      <c r="G124" s="264">
        <v>878239.61759426142</v>
      </c>
      <c r="H124" s="264">
        <v>100710.98607819123</v>
      </c>
      <c r="I124" s="264">
        <v>15989.61574830692</v>
      </c>
      <c r="J124" s="263">
        <v>-2.9596994009756905</v>
      </c>
      <c r="K124" s="265">
        <v>-7.3686235931285573</v>
      </c>
      <c r="L124" s="190">
        <f t="shared" si="10"/>
        <v>-4.4089241921528668</v>
      </c>
    </row>
    <row r="125" spans="1:29">
      <c r="A125" s="259">
        <v>5</v>
      </c>
      <c r="B125" s="260">
        <v>10</v>
      </c>
      <c r="C125" s="260" t="s">
        <v>213</v>
      </c>
      <c r="D125" s="262">
        <v>96</v>
      </c>
      <c r="E125" s="263">
        <v>55839</v>
      </c>
      <c r="F125" s="264">
        <v>9063314.298131723</v>
      </c>
      <c r="G125" s="264">
        <v>991356.54667105386</v>
      </c>
      <c r="H125" s="264">
        <v>54204.664610153282</v>
      </c>
      <c r="I125" s="264">
        <v>1532.5040191262137</v>
      </c>
      <c r="J125" s="263">
        <v>-3.0865809673750588</v>
      </c>
      <c r="K125" s="265">
        <v>-9.0350154289946936</v>
      </c>
      <c r="L125" s="190">
        <f t="shared" si="10"/>
        <v>-5.9484344616196347</v>
      </c>
    </row>
    <row r="126" spans="1:29">
      <c r="A126" s="259">
        <v>5</v>
      </c>
      <c r="B126" s="260">
        <v>20</v>
      </c>
      <c r="C126" s="260" t="s">
        <v>213</v>
      </c>
      <c r="D126" s="262">
        <v>96</v>
      </c>
      <c r="E126" s="263">
        <v>58616</v>
      </c>
      <c r="F126" s="264">
        <v>9399478.1621825565</v>
      </c>
      <c r="G126" s="264">
        <v>1198512.4126640579</v>
      </c>
      <c r="H126" s="264">
        <v>31516.916297017942</v>
      </c>
      <c r="I126" s="264">
        <v>1744.4648974524591</v>
      </c>
      <c r="J126" s="263">
        <v>-2.5754814254614731</v>
      </c>
      <c r="K126" s="265">
        <v>-10.773445919765162</v>
      </c>
      <c r="L126" s="190">
        <f t="shared" si="10"/>
        <v>-8.1979644943036902</v>
      </c>
    </row>
    <row r="127" spans="1:29">
      <c r="A127" s="259">
        <v>15</v>
      </c>
      <c r="B127" s="260">
        <v>0</v>
      </c>
      <c r="C127" s="260" t="s">
        <v>213</v>
      </c>
      <c r="D127" s="262">
        <v>96</v>
      </c>
      <c r="E127" s="263">
        <v>40380</v>
      </c>
      <c r="F127" s="264">
        <v>5518728.3843083112</v>
      </c>
      <c r="G127" s="264">
        <v>589522.7153394582</v>
      </c>
      <c r="H127" s="264">
        <v>771455.11447904306</v>
      </c>
      <c r="I127" s="264">
        <v>71309.697315083002</v>
      </c>
      <c r="J127" s="263">
        <v>-3.7975886254318807</v>
      </c>
      <c r="K127" s="265">
        <v>-11.781150524997408</v>
      </c>
      <c r="L127" s="190">
        <f t="shared" si="10"/>
        <v>-7.9835618995655269</v>
      </c>
    </row>
    <row r="128" spans="1:29">
      <c r="A128" s="259">
        <v>15</v>
      </c>
      <c r="B128" s="260">
        <v>1</v>
      </c>
      <c r="C128" s="260" t="s">
        <v>213</v>
      </c>
      <c r="D128" s="262">
        <v>96</v>
      </c>
      <c r="E128" s="263">
        <v>43645</v>
      </c>
      <c r="F128" s="264">
        <v>5058142.0944807613</v>
      </c>
      <c r="G128" s="264">
        <v>2532212.8303650492</v>
      </c>
      <c r="H128" s="264">
        <v>589577.51134370978</v>
      </c>
      <c r="I128" s="264">
        <v>252038.8235017719</v>
      </c>
      <c r="J128" s="263">
        <v>-4.699455659953256</v>
      </c>
      <c r="K128" s="265">
        <v>-4.3160977221447148</v>
      </c>
      <c r="L128" s="190">
        <f t="shared" si="10"/>
        <v>0.38335793780854122</v>
      </c>
    </row>
    <row r="129" spans="1:14">
      <c r="A129" s="259">
        <v>15</v>
      </c>
      <c r="B129" s="260">
        <v>5</v>
      </c>
      <c r="C129" s="260" t="s">
        <v>213</v>
      </c>
      <c r="D129" s="262">
        <v>96</v>
      </c>
      <c r="E129" s="263">
        <v>33637</v>
      </c>
      <c r="F129" s="264">
        <v>6429826.9014938651</v>
      </c>
      <c r="G129" s="264">
        <v>388785.61919360032</v>
      </c>
      <c r="H129" s="264">
        <v>334704.73881030036</v>
      </c>
      <c r="I129" s="264">
        <v>35565.420290472714</v>
      </c>
      <c r="J129" s="263">
        <v>-4.0041093716828549</v>
      </c>
      <c r="K129" s="265">
        <v>-4.1539053013076996</v>
      </c>
      <c r="L129" s="190">
        <f t="shared" si="10"/>
        <v>-0.14979592962484478</v>
      </c>
      <c r="N129" s="190">
        <v>25</v>
      </c>
    </row>
    <row r="130" spans="1:14">
      <c r="A130" s="259">
        <v>15</v>
      </c>
      <c r="B130" s="260">
        <v>10</v>
      </c>
      <c r="C130" s="260" t="s">
        <v>213</v>
      </c>
      <c r="D130" s="262">
        <v>96</v>
      </c>
      <c r="E130" s="263">
        <v>124566</v>
      </c>
      <c r="F130" s="264">
        <v>5286499.6854784656</v>
      </c>
      <c r="G130" s="264">
        <v>940034.67549418553</v>
      </c>
      <c r="H130" s="264">
        <v>172436.3253968161</v>
      </c>
      <c r="I130" s="264">
        <v>43619.244925448169</v>
      </c>
      <c r="J130" s="263">
        <v>-4.6992690633973186</v>
      </c>
      <c r="K130" s="265">
        <v>-5.9522966692133572</v>
      </c>
      <c r="L130" s="190">
        <f t="shared" si="10"/>
        <v>-1.2530276058160386</v>
      </c>
    </row>
    <row r="131" spans="1:14">
      <c r="A131" s="259">
        <v>15</v>
      </c>
      <c r="B131" s="260">
        <v>20</v>
      </c>
      <c r="C131" s="260" t="s">
        <v>213</v>
      </c>
      <c r="D131" s="262">
        <v>96</v>
      </c>
      <c r="E131" s="263">
        <v>96775</v>
      </c>
      <c r="F131" s="264">
        <v>6322919.1334610162</v>
      </c>
      <c r="G131" s="264">
        <v>1194067.0224071413</v>
      </c>
      <c r="H131" s="264">
        <v>99871.292023677583</v>
      </c>
      <c r="I131" s="264">
        <v>5075.6264100017333</v>
      </c>
      <c r="J131" s="263">
        <v>-3.9557489877573104</v>
      </c>
      <c r="K131" s="265">
        <v>-7.3491254789476663</v>
      </c>
      <c r="L131" s="190">
        <f t="shared" si="10"/>
        <v>-3.3933764911903559</v>
      </c>
    </row>
    <row r="132" spans="1:14">
      <c r="A132" s="259">
        <v>25</v>
      </c>
      <c r="B132" s="260">
        <v>0</v>
      </c>
      <c r="C132" s="260" t="s">
        <v>213</v>
      </c>
      <c r="D132" s="262">
        <v>96</v>
      </c>
      <c r="E132" s="263">
        <v>50747</v>
      </c>
      <c r="F132" s="264">
        <v>5422356.0142790247</v>
      </c>
      <c r="G132" s="264">
        <v>1140110.2728894064</v>
      </c>
      <c r="H132" s="264">
        <v>1096320.7768380353</v>
      </c>
      <c r="I132" s="264">
        <v>163585.01113744269</v>
      </c>
      <c r="J132" s="263">
        <v>-3.366436459862761</v>
      </c>
      <c r="K132" s="265">
        <v>-13.816546287400644</v>
      </c>
      <c r="L132" s="190">
        <f t="shared" si="10"/>
        <v>-10.450109827537883</v>
      </c>
    </row>
    <row r="133" spans="1:14">
      <c r="A133" s="259">
        <v>25</v>
      </c>
      <c r="B133" s="260">
        <v>1</v>
      </c>
      <c r="C133" s="260" t="s">
        <v>213</v>
      </c>
      <c r="D133" s="262">
        <v>96</v>
      </c>
      <c r="E133" s="263">
        <v>66239</v>
      </c>
      <c r="F133" s="264">
        <v>6216443.8564179605</v>
      </c>
      <c r="G133" s="264">
        <v>533277.25865591143</v>
      </c>
      <c r="H133" s="264">
        <v>875405.11460219196</v>
      </c>
      <c r="I133" s="264">
        <v>74472.065133871278</v>
      </c>
      <c r="J133" s="263">
        <v>-4.3499474498410304</v>
      </c>
      <c r="K133" s="265">
        <v>-4.4190892093786136</v>
      </c>
      <c r="L133" s="190">
        <f t="shared" si="10"/>
        <v>-6.914175953758317E-2</v>
      </c>
    </row>
    <row r="134" spans="1:14">
      <c r="A134" s="259">
        <v>25</v>
      </c>
      <c r="B134" s="260">
        <v>5</v>
      </c>
      <c r="C134" s="260" t="s">
        <v>213</v>
      </c>
      <c r="D134" s="262">
        <v>96</v>
      </c>
      <c r="E134" s="263">
        <v>56105</v>
      </c>
      <c r="F134" s="264">
        <v>6810343.1802737005</v>
      </c>
      <c r="G134" s="264">
        <v>674843.79478931311</v>
      </c>
      <c r="H134" s="264">
        <v>503058.93690248381</v>
      </c>
      <c r="I134" s="264">
        <v>40546.872791666312</v>
      </c>
      <c r="J134" s="263">
        <v>-4.1607696250496415</v>
      </c>
      <c r="K134" s="265">
        <v>-3.0697760119160495</v>
      </c>
      <c r="L134" s="190">
        <f t="shared" si="10"/>
        <v>1.090993613133592</v>
      </c>
    </row>
    <row r="135" spans="1:14">
      <c r="A135" s="259">
        <v>25</v>
      </c>
      <c r="B135" s="260">
        <v>10</v>
      </c>
      <c r="C135" s="260" t="s">
        <v>213</v>
      </c>
      <c r="D135" s="262">
        <v>96</v>
      </c>
      <c r="E135" s="263">
        <v>37742</v>
      </c>
      <c r="F135" s="264">
        <v>6969670.9176768679</v>
      </c>
      <c r="G135" s="264">
        <v>2318009.1167315627</v>
      </c>
      <c r="H135" s="264">
        <v>336352.39139764896</v>
      </c>
      <c r="I135" s="264">
        <v>66988.578848231671</v>
      </c>
      <c r="J135" s="263">
        <v>-3.5790989159603108</v>
      </c>
      <c r="K135" s="265">
        <v>-3.6604401580651724</v>
      </c>
      <c r="L135" s="190">
        <f t="shared" si="10"/>
        <v>-8.13412421048616E-2</v>
      </c>
    </row>
    <row r="136" spans="1:14">
      <c r="A136" s="259">
        <v>25</v>
      </c>
      <c r="B136" s="260">
        <v>20</v>
      </c>
      <c r="C136" s="260" t="s">
        <v>213</v>
      </c>
      <c r="D136" s="262">
        <v>96</v>
      </c>
      <c r="E136" s="263">
        <v>41433</v>
      </c>
      <c r="F136" s="264">
        <v>7674216.7594737187</v>
      </c>
      <c r="G136" s="264">
        <v>1003584.2059824305</v>
      </c>
      <c r="H136" s="264">
        <v>225273.15625203738</v>
      </c>
      <c r="I136" s="264">
        <v>9100.8104626796139</v>
      </c>
      <c r="J136" s="263">
        <v>-3.1100571366335577</v>
      </c>
      <c r="K136" s="265">
        <v>-4.5245219604525158</v>
      </c>
      <c r="L136" s="190">
        <f t="shared" si="10"/>
        <v>-1.4144648238189581</v>
      </c>
    </row>
    <row r="137" spans="1:14">
      <c r="A137" s="259">
        <v>35</v>
      </c>
      <c r="B137" s="260">
        <v>0</v>
      </c>
      <c r="C137" s="260" t="s">
        <v>213</v>
      </c>
      <c r="D137" s="262">
        <v>96</v>
      </c>
      <c r="E137" s="263">
        <v>32323</v>
      </c>
      <c r="F137" s="264">
        <v>3514626.2704067081</v>
      </c>
      <c r="G137" s="264">
        <v>116056.03990499124</v>
      </c>
      <c r="H137" s="264">
        <v>721460.59255254723</v>
      </c>
      <c r="I137" s="264">
        <v>13343.529589227866</v>
      </c>
      <c r="J137" s="263">
        <v>-4.836087274680553</v>
      </c>
      <c r="K137" s="265">
        <v>-19.626993942728518</v>
      </c>
      <c r="L137" s="190">
        <f t="shared" si="10"/>
        <v>-14.790906668047965</v>
      </c>
    </row>
    <row r="138" spans="1:14">
      <c r="A138" s="259">
        <v>35</v>
      </c>
      <c r="B138" s="260">
        <v>1</v>
      </c>
      <c r="C138" s="260" t="s">
        <v>213</v>
      </c>
      <c r="D138" s="262">
        <v>96</v>
      </c>
      <c r="E138" s="263">
        <v>101516</v>
      </c>
      <c r="F138" s="264">
        <v>3876499.6576668969</v>
      </c>
      <c r="G138" s="264">
        <v>415393.45375122869</v>
      </c>
      <c r="H138" s="264">
        <v>588498.31159746042</v>
      </c>
      <c r="I138" s="264">
        <v>43880.187020430487</v>
      </c>
      <c r="J138" s="263">
        <v>-5.4894163723835465</v>
      </c>
      <c r="K138" s="265">
        <v>-5.3657884488582317</v>
      </c>
      <c r="L138" s="190">
        <f t="shared" si="10"/>
        <v>0.12362792352531482</v>
      </c>
    </row>
    <row r="139" spans="1:14">
      <c r="A139" s="259">
        <v>35</v>
      </c>
      <c r="B139" s="260">
        <v>5</v>
      </c>
      <c r="C139" s="260" t="s">
        <v>213</v>
      </c>
      <c r="D139" s="262">
        <v>96</v>
      </c>
      <c r="E139" s="263">
        <v>66923</v>
      </c>
      <c r="F139" s="264">
        <v>7061579.3021522416</v>
      </c>
      <c r="G139" s="264">
        <v>596435.04291119473</v>
      </c>
      <c r="H139" s="264">
        <v>722538.17859353404</v>
      </c>
      <c r="I139" s="264">
        <v>51555.382329058913</v>
      </c>
      <c r="J139" s="263">
        <v>-3.3783885464066641</v>
      </c>
      <c r="K139" s="265">
        <v>-2.4630805339759703</v>
      </c>
      <c r="L139" s="190">
        <f t="shared" si="10"/>
        <v>0.91530801243069382</v>
      </c>
    </row>
    <row r="140" spans="1:14">
      <c r="A140" s="259">
        <v>35</v>
      </c>
      <c r="B140" s="260">
        <v>10</v>
      </c>
      <c r="C140" s="260" t="s">
        <v>213</v>
      </c>
      <c r="D140" s="262">
        <v>96</v>
      </c>
      <c r="E140" s="263">
        <v>54446</v>
      </c>
      <c r="F140" s="264">
        <v>7787003.5920954505</v>
      </c>
      <c r="G140" s="264">
        <v>622142.95366764022</v>
      </c>
      <c r="H140" s="264">
        <v>539294.83787015534</v>
      </c>
      <c r="I140" s="264">
        <v>8525.8134105042082</v>
      </c>
      <c r="J140" s="263">
        <v>-3.041737332522028</v>
      </c>
      <c r="K140" s="265">
        <v>-2.9033709785293214</v>
      </c>
      <c r="L140" s="190">
        <f t="shared" si="10"/>
        <v>0.13836635399270669</v>
      </c>
    </row>
    <row r="141" spans="1:14">
      <c r="A141" s="259">
        <v>35</v>
      </c>
      <c r="B141" s="260">
        <v>20</v>
      </c>
      <c r="C141" s="260" t="s">
        <v>213</v>
      </c>
      <c r="D141" s="262">
        <v>96</v>
      </c>
      <c r="E141" s="263">
        <v>73346</v>
      </c>
      <c r="F141" s="264">
        <v>6752153.6242936598</v>
      </c>
      <c r="G141" s="264">
        <v>869658.41664665937</v>
      </c>
      <c r="H141" s="264">
        <v>298923.77914179023</v>
      </c>
      <c r="I141" s="264">
        <v>46247.713594343186</v>
      </c>
      <c r="J141" s="263">
        <v>-3.7874087094741444</v>
      </c>
      <c r="K141" s="265">
        <v>-4.6060109073204396</v>
      </c>
      <c r="L141" s="190">
        <f t="shared" si="10"/>
        <v>-0.81860219784629518</v>
      </c>
    </row>
    <row r="142" spans="1:14">
      <c r="A142" s="259">
        <v>5</v>
      </c>
      <c r="B142" s="260">
        <v>0</v>
      </c>
      <c r="C142" s="260" t="s">
        <v>214</v>
      </c>
      <c r="D142" s="262">
        <v>96</v>
      </c>
      <c r="E142" s="263">
        <v>62493</v>
      </c>
      <c r="F142" s="264">
        <v>133271.6826967115</v>
      </c>
      <c r="G142" s="264">
        <v>4624.186132453</v>
      </c>
      <c r="H142" s="264">
        <v>38131.280371647801</v>
      </c>
      <c r="I142" s="264">
        <v>9082.7539379201316</v>
      </c>
      <c r="J142" s="263"/>
      <c r="K142" s="265"/>
    </row>
    <row r="143" spans="1:14">
      <c r="A143" s="259">
        <v>5</v>
      </c>
      <c r="B143" s="260">
        <v>1</v>
      </c>
      <c r="C143" s="260" t="s">
        <v>214</v>
      </c>
      <c r="D143" s="262">
        <v>96</v>
      </c>
      <c r="E143" s="263">
        <v>30012</v>
      </c>
      <c r="F143" s="264">
        <v>96793.644199330796</v>
      </c>
      <c r="G143" s="264">
        <v>108026.82120075656</v>
      </c>
      <c r="H143" s="264">
        <v>6861.1970966903282</v>
      </c>
      <c r="I143" s="264">
        <v>2498.494916512876</v>
      </c>
      <c r="J143" s="263"/>
      <c r="K143" s="265"/>
    </row>
    <row r="144" spans="1:14">
      <c r="A144" s="259">
        <v>5</v>
      </c>
      <c r="B144" s="260">
        <v>5</v>
      </c>
      <c r="C144" s="260" t="s">
        <v>214</v>
      </c>
      <c r="D144" s="262">
        <v>96</v>
      </c>
      <c r="E144" s="263">
        <v>40530</v>
      </c>
      <c r="F144" s="264">
        <v>141070.50039984012</v>
      </c>
      <c r="G144" s="264">
        <v>12694.407797535043</v>
      </c>
      <c r="H144" s="264">
        <v>7525.175561442612</v>
      </c>
      <c r="I144" s="264">
        <v>208.36509626031688</v>
      </c>
      <c r="J144" s="263"/>
      <c r="K144" s="265"/>
      <c r="N144" s="190">
        <v>35</v>
      </c>
    </row>
    <row r="145" spans="1:11">
      <c r="A145" s="259">
        <v>5</v>
      </c>
      <c r="B145" s="260">
        <v>10</v>
      </c>
      <c r="C145" s="260" t="s">
        <v>214</v>
      </c>
      <c r="D145" s="262">
        <v>96</v>
      </c>
      <c r="E145" s="263">
        <v>44456</v>
      </c>
      <c r="F145" s="264">
        <v>137725.7562502136</v>
      </c>
      <c r="G145" s="264">
        <v>14102.675915195598</v>
      </c>
      <c r="H145" s="264">
        <v>6884.4253939600912</v>
      </c>
      <c r="I145" s="264">
        <v>120.67659891154085</v>
      </c>
      <c r="J145" s="263"/>
      <c r="K145" s="265"/>
    </row>
    <row r="146" spans="1:11">
      <c r="A146" s="259">
        <v>5</v>
      </c>
      <c r="B146" s="260">
        <v>20</v>
      </c>
      <c r="C146" s="260" t="s">
        <v>214</v>
      </c>
      <c r="D146" s="262">
        <v>96</v>
      </c>
      <c r="E146" s="263">
        <v>112894</v>
      </c>
      <c r="F146" s="264">
        <v>111522.07076578417</v>
      </c>
      <c r="G146" s="264">
        <v>5625.0134898487659</v>
      </c>
      <c r="H146" s="264">
        <v>6215.5186349361175</v>
      </c>
      <c r="I146" s="264">
        <v>360.84755228017519</v>
      </c>
      <c r="J146" s="263"/>
      <c r="K146" s="265"/>
    </row>
    <row r="147" spans="1:11">
      <c r="A147" s="259">
        <v>15</v>
      </c>
      <c r="B147" s="260">
        <v>0</v>
      </c>
      <c r="C147" s="260" t="s">
        <v>214</v>
      </c>
      <c r="D147" s="262">
        <v>96</v>
      </c>
      <c r="E147" s="263">
        <v>87451</v>
      </c>
      <c r="F147" s="264">
        <v>110970.03451090111</v>
      </c>
      <c r="G147" s="264">
        <v>4764.5073917265036</v>
      </c>
      <c r="H147" s="264">
        <v>94027.215478114682</v>
      </c>
      <c r="I147" s="264">
        <v>9587.2474564463191</v>
      </c>
      <c r="J147" s="263"/>
      <c r="K147" s="265"/>
    </row>
    <row r="148" spans="1:11">
      <c r="A148" s="259">
        <v>15</v>
      </c>
      <c r="B148" s="260">
        <v>1</v>
      </c>
      <c r="C148" s="260" t="s">
        <v>214</v>
      </c>
      <c r="D148" s="262">
        <v>96</v>
      </c>
      <c r="E148" s="263">
        <v>78912</v>
      </c>
      <c r="F148" s="264">
        <v>135999.65009462266</v>
      </c>
      <c r="G148" s="264">
        <v>7057.3930489681716</v>
      </c>
      <c r="H148" s="264">
        <v>9898.4263219996865</v>
      </c>
      <c r="I148" s="264">
        <v>937.17553709336994</v>
      </c>
      <c r="J148" s="263"/>
      <c r="K148" s="265"/>
    </row>
    <row r="149" spans="1:11">
      <c r="A149" s="259">
        <v>15</v>
      </c>
      <c r="B149" s="260">
        <v>5</v>
      </c>
      <c r="C149" s="260" t="s">
        <v>214</v>
      </c>
      <c r="D149" s="262">
        <v>96</v>
      </c>
      <c r="E149" s="263">
        <v>64564</v>
      </c>
      <c r="F149" s="264">
        <v>133040.56412734653</v>
      </c>
      <c r="G149" s="264">
        <v>10480.141160530515</v>
      </c>
      <c r="H149" s="264">
        <v>7205.4152873119638</v>
      </c>
      <c r="I149" s="264">
        <v>1485.5231874264548</v>
      </c>
      <c r="J149" s="263"/>
      <c r="K149" s="265"/>
    </row>
    <row r="150" spans="1:11">
      <c r="A150" s="259">
        <v>15</v>
      </c>
      <c r="B150" s="260">
        <v>10</v>
      </c>
      <c r="C150" s="260" t="s">
        <v>214</v>
      </c>
      <c r="D150" s="262">
        <v>96</v>
      </c>
      <c r="E150" s="263">
        <v>54067</v>
      </c>
      <c r="F150" s="264">
        <v>134722.85974742612</v>
      </c>
      <c r="G150" s="264">
        <v>13954.779625576328</v>
      </c>
      <c r="H150" s="264">
        <v>7388.6285803807077</v>
      </c>
      <c r="I150" s="264">
        <v>1340.6290295305666</v>
      </c>
      <c r="J150" s="263"/>
      <c r="K150" s="265"/>
    </row>
    <row r="151" spans="1:11">
      <c r="A151" s="259">
        <v>15</v>
      </c>
      <c r="B151" s="260">
        <v>20</v>
      </c>
      <c r="C151" s="260" t="s">
        <v>214</v>
      </c>
      <c r="D151" s="262">
        <v>96</v>
      </c>
      <c r="E151" s="263">
        <v>47878</v>
      </c>
      <c r="F151" s="264">
        <v>121826.34545631908</v>
      </c>
      <c r="G151" s="264">
        <v>6182.6434377856831</v>
      </c>
      <c r="H151" s="264">
        <v>7168.6261665289221</v>
      </c>
      <c r="I151" s="264">
        <v>931.36776476045543</v>
      </c>
      <c r="J151" s="263"/>
      <c r="K151" s="265"/>
    </row>
    <row r="152" spans="1:11">
      <c r="A152" s="259">
        <v>25</v>
      </c>
      <c r="B152" s="260">
        <v>0</v>
      </c>
      <c r="C152" s="260" t="s">
        <v>214</v>
      </c>
      <c r="D152" s="262">
        <v>96</v>
      </c>
      <c r="E152" s="263">
        <v>37913</v>
      </c>
      <c r="F152" s="264">
        <v>103707.98667552396</v>
      </c>
      <c r="G152" s="264">
        <v>968.71536651881468</v>
      </c>
      <c r="H152" s="264">
        <v>209311.17152650293</v>
      </c>
      <c r="I152" s="264">
        <v>8665.3033394539798</v>
      </c>
      <c r="J152" s="263"/>
      <c r="K152" s="265"/>
    </row>
    <row r="153" spans="1:11">
      <c r="A153" s="259">
        <v>25</v>
      </c>
      <c r="B153" s="260">
        <v>1</v>
      </c>
      <c r="C153" s="260" t="s">
        <v>214</v>
      </c>
      <c r="D153" s="262">
        <v>96</v>
      </c>
      <c r="E153" s="263">
        <v>34428</v>
      </c>
      <c r="F153" s="264">
        <v>152671.58592476739</v>
      </c>
      <c r="G153" s="264">
        <v>13934.913127014448</v>
      </c>
      <c r="H153" s="264">
        <v>13667.83053912964</v>
      </c>
      <c r="I153" s="264">
        <v>2482.8840976283414</v>
      </c>
      <c r="J153" s="263"/>
      <c r="K153" s="265"/>
    </row>
    <row r="154" spans="1:11">
      <c r="A154" s="259">
        <v>25</v>
      </c>
      <c r="B154" s="260">
        <v>5</v>
      </c>
      <c r="C154" s="260" t="s">
        <v>214</v>
      </c>
      <c r="D154" s="262">
        <v>96</v>
      </c>
      <c r="E154" s="263">
        <v>137455</v>
      </c>
      <c r="F154" s="264">
        <v>159580.98122613854</v>
      </c>
      <c r="G154" s="264">
        <v>16616.50455333315</v>
      </c>
      <c r="H154" s="264">
        <v>6508.7844883323878</v>
      </c>
      <c r="I154" s="264">
        <v>369.7255008786853</v>
      </c>
      <c r="J154" s="263"/>
      <c r="K154" s="265"/>
    </row>
    <row r="155" spans="1:11">
      <c r="A155" s="259">
        <v>25</v>
      </c>
      <c r="B155" s="260">
        <v>10</v>
      </c>
      <c r="C155" s="260" t="s">
        <v>214</v>
      </c>
      <c r="D155" s="262">
        <v>96</v>
      </c>
      <c r="E155" s="263">
        <v>102274</v>
      </c>
      <c r="F155" s="264">
        <v>133009.32114329675</v>
      </c>
      <c r="G155" s="264">
        <v>14899.308595177878</v>
      </c>
      <c r="H155" s="264">
        <v>6188.7886995752588</v>
      </c>
      <c r="I155" s="264">
        <v>469.91061482468405</v>
      </c>
      <c r="J155" s="263"/>
      <c r="K155" s="265"/>
    </row>
    <row r="156" spans="1:11">
      <c r="A156" s="259">
        <v>25</v>
      </c>
      <c r="B156" s="260">
        <v>20</v>
      </c>
      <c r="C156" s="260" t="s">
        <v>214</v>
      </c>
      <c r="D156" s="262">
        <v>96</v>
      </c>
      <c r="E156" s="263">
        <v>66114</v>
      </c>
      <c r="F156" s="264">
        <v>109781.73537154232</v>
      </c>
      <c r="G156" s="264">
        <v>1803.4547733914958</v>
      </c>
      <c r="H156" s="264">
        <v>5925.5323594599413</v>
      </c>
      <c r="I156" s="264">
        <v>361.13481878427081</v>
      </c>
      <c r="J156" s="263"/>
      <c r="K156" s="265"/>
    </row>
    <row r="157" spans="1:11">
      <c r="A157" s="259">
        <v>35</v>
      </c>
      <c r="B157" s="260">
        <v>0</v>
      </c>
      <c r="C157" s="260" t="s">
        <v>214</v>
      </c>
      <c r="D157" s="262">
        <v>96</v>
      </c>
      <c r="E157" s="263">
        <v>84528</v>
      </c>
      <c r="F157" s="264">
        <v>111205.65026922099</v>
      </c>
      <c r="G157" s="264">
        <v>5085.2885301163551</v>
      </c>
      <c r="H157" s="264">
        <v>306918.99895130767</v>
      </c>
      <c r="I157" s="264">
        <v>19847.264529497577</v>
      </c>
      <c r="J157" s="263"/>
      <c r="K157" s="265"/>
    </row>
    <row r="158" spans="1:11">
      <c r="A158" s="259">
        <v>35</v>
      </c>
      <c r="B158" s="260">
        <v>1</v>
      </c>
      <c r="C158" s="260" t="s">
        <v>214</v>
      </c>
      <c r="D158" s="262">
        <v>96</v>
      </c>
      <c r="E158" s="263">
        <v>78336</v>
      </c>
      <c r="F158" s="264">
        <v>138309.24667461417</v>
      </c>
      <c r="G158" s="264">
        <v>8653.1466375098735</v>
      </c>
      <c r="H158" s="264">
        <v>12505.658518601889</v>
      </c>
      <c r="I158" s="264">
        <v>657.87940408946076</v>
      </c>
      <c r="J158" s="263"/>
      <c r="K158" s="265"/>
    </row>
    <row r="159" spans="1:11">
      <c r="A159" s="259">
        <v>35</v>
      </c>
      <c r="B159" s="260">
        <v>5</v>
      </c>
      <c r="C159" s="260" t="s">
        <v>214</v>
      </c>
      <c r="D159" s="262">
        <v>96</v>
      </c>
      <c r="E159" s="263">
        <v>95951</v>
      </c>
      <c r="F159" s="264">
        <v>118776.85238680309</v>
      </c>
      <c r="G159" s="264">
        <v>12778.142046524181</v>
      </c>
      <c r="H159" s="264">
        <v>6852.7036974343328</v>
      </c>
      <c r="I159" s="264">
        <v>1582.6681207990111</v>
      </c>
      <c r="J159" s="263"/>
      <c r="K159" s="265"/>
    </row>
    <row r="160" spans="1:11">
      <c r="A160" s="259">
        <v>35</v>
      </c>
      <c r="B160" s="260">
        <v>10</v>
      </c>
      <c r="C160" s="260" t="s">
        <v>214</v>
      </c>
      <c r="D160" s="262">
        <v>96</v>
      </c>
      <c r="E160" s="263">
        <v>84247</v>
      </c>
      <c r="F160" s="264">
        <v>116396.18714460768</v>
      </c>
      <c r="G160" s="264">
        <v>5370.2438274963288</v>
      </c>
      <c r="H160" s="264">
        <v>6720.3083845749388</v>
      </c>
      <c r="I160" s="264">
        <v>399.35766138170072</v>
      </c>
      <c r="J160" s="263"/>
      <c r="K160" s="265"/>
    </row>
    <row r="161" spans="1:11" ht="17" thickBot="1">
      <c r="A161" s="277">
        <v>35</v>
      </c>
      <c r="B161" s="261">
        <v>20</v>
      </c>
      <c r="C161" s="261" t="s">
        <v>214</v>
      </c>
      <c r="D161" s="278">
        <v>96</v>
      </c>
      <c r="E161" s="276">
        <v>61006</v>
      </c>
      <c r="F161" s="279">
        <v>128883.4881709536</v>
      </c>
      <c r="G161" s="279">
        <v>17278.518950672882</v>
      </c>
      <c r="H161" s="279">
        <v>7678.0824390186172</v>
      </c>
      <c r="I161" s="279">
        <v>729.53278464798871</v>
      </c>
      <c r="J161" s="276"/>
      <c r="K161" s="274"/>
    </row>
  </sheetData>
  <mergeCells count="36">
    <mergeCell ref="AL14:AL18"/>
    <mergeCell ref="N1:X1"/>
    <mergeCell ref="Z1:AJ1"/>
    <mergeCell ref="AN3:AQ3"/>
    <mergeCell ref="AL5:AL9"/>
    <mergeCell ref="AN12:AQ12"/>
    <mergeCell ref="AN21:AQ21"/>
    <mergeCell ref="AL23:AL27"/>
    <mergeCell ref="AN31:AQ31"/>
    <mergeCell ref="AL33:AL37"/>
    <mergeCell ref="AN40:AQ40"/>
    <mergeCell ref="T51:T55"/>
    <mergeCell ref="AA51:AA55"/>
    <mergeCell ref="AL42:AL46"/>
    <mergeCell ref="T56:T60"/>
    <mergeCell ref="AA56:AA60"/>
    <mergeCell ref="T44:Y44"/>
    <mergeCell ref="AA44:AF44"/>
    <mergeCell ref="AG44:AJ44"/>
    <mergeCell ref="T46:T50"/>
    <mergeCell ref="AA46:AA50"/>
    <mergeCell ref="AT65:AZ65"/>
    <mergeCell ref="X107:X111"/>
    <mergeCell ref="X112:X116"/>
    <mergeCell ref="X117:X121"/>
    <mergeCell ref="T75:T79"/>
    <mergeCell ref="AT76:AZ76"/>
    <mergeCell ref="AR78:AR83"/>
    <mergeCell ref="T80:T84"/>
    <mergeCell ref="T85:T89"/>
    <mergeCell ref="X102:X106"/>
    <mergeCell ref="AR67:AR72"/>
    <mergeCell ref="T68:Y68"/>
    <mergeCell ref="T70:T74"/>
    <mergeCell ref="T61:T65"/>
    <mergeCell ref="AA61:AA65"/>
  </mergeCells>
  <conditionalFormatting sqref="AN33:AQ37">
    <cfRule type="colorScale" priority="7">
      <colorScale>
        <cfvo type="num" val="-20"/>
        <cfvo type="num" val="0"/>
        <color theme="0"/>
        <color rgb="FF008000"/>
      </colorScale>
    </cfRule>
  </conditionalFormatting>
  <conditionalFormatting sqref="AN5:AQ9">
    <cfRule type="colorScale" priority="6">
      <colorScale>
        <cfvo type="num" val="1"/>
        <cfvo type="num" val="100"/>
        <color theme="0"/>
        <color rgb="FF339933"/>
      </colorScale>
    </cfRule>
  </conditionalFormatting>
  <conditionalFormatting sqref="AN14:AQ18">
    <cfRule type="colorScale" priority="5">
      <colorScale>
        <cfvo type="num" val="1"/>
        <cfvo type="num" val="100"/>
        <color rgb="FF339933"/>
        <color theme="0"/>
      </colorScale>
    </cfRule>
  </conditionalFormatting>
  <conditionalFormatting sqref="AN23:AQ27">
    <cfRule type="colorScale" priority="4">
      <colorScale>
        <cfvo type="num" val="0"/>
        <cfvo type="num" val="35"/>
        <color theme="0"/>
        <color rgb="FF339933"/>
      </colorScale>
    </cfRule>
  </conditionalFormatting>
  <conditionalFormatting sqref="AN42:AQ46">
    <cfRule type="colorScale" priority="3">
      <colorScale>
        <cfvo type="num" val="-20"/>
        <cfvo type="num" val="5"/>
        <color theme="0"/>
        <color rgb="FF339933"/>
      </colorScale>
    </cfRule>
  </conditionalFormatting>
  <conditionalFormatting sqref="AT67:AZ72">
    <cfRule type="colorScale" priority="2">
      <colorScale>
        <cfvo type="num" val="-20"/>
        <cfvo type="num" val="0"/>
        <color theme="0"/>
        <color rgb="FF006600"/>
      </colorScale>
    </cfRule>
  </conditionalFormatting>
  <conditionalFormatting sqref="AT78:AZ83">
    <cfRule type="colorScale" priority="1">
      <colorScale>
        <cfvo type="num" val="0"/>
        <cfvo type="num" val="40"/>
        <color theme="0"/>
        <color rgb="FF006600"/>
      </colorScale>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autoPageBreaks="0"/>
  </sheetPr>
  <dimension ref="A1:M75"/>
  <sheetViews>
    <sheetView topLeftCell="A22" zoomScale="89" zoomScaleNormal="89" workbookViewId="0">
      <selection activeCell="C44" sqref="C44"/>
    </sheetView>
  </sheetViews>
  <sheetFormatPr baseColWidth="10" defaultColWidth="9" defaultRowHeight="16"/>
  <cols>
    <col min="1" max="1" width="37" style="1" customWidth="1"/>
    <col min="2" max="2" width="94.1640625" style="4" customWidth="1"/>
    <col min="3" max="3" width="16" style="30" customWidth="1"/>
    <col min="4" max="4" width="15.1640625" style="23" customWidth="1"/>
    <col min="5" max="5" width="9" style="1"/>
    <col min="6" max="6" width="30.6640625" style="1" customWidth="1"/>
    <col min="7" max="16384" width="9" style="1"/>
  </cols>
  <sheetData>
    <row r="1" spans="1:13" ht="22" thickBot="1">
      <c r="A1" s="456" t="s">
        <v>179</v>
      </c>
      <c r="B1" s="457"/>
      <c r="C1" s="457"/>
      <c r="D1" s="458"/>
      <c r="E1" s="22"/>
      <c r="F1" s="22"/>
      <c r="G1" s="22"/>
      <c r="H1" s="22"/>
      <c r="I1" s="22"/>
      <c r="J1" s="22"/>
      <c r="K1" s="22"/>
      <c r="L1" s="20"/>
      <c r="M1" s="21"/>
    </row>
    <row r="2" spans="1:13" ht="37.5" customHeight="1" thickBot="1">
      <c r="A2" s="9" t="s">
        <v>59</v>
      </c>
      <c r="B2" s="10" t="s">
        <v>60</v>
      </c>
      <c r="C2" s="11" t="s">
        <v>155</v>
      </c>
      <c r="D2" s="139" t="s">
        <v>68</v>
      </c>
      <c r="F2" s="24" t="s">
        <v>70</v>
      </c>
    </row>
    <row r="3" spans="1:13" ht="17">
      <c r="A3" s="12" t="s">
        <v>15</v>
      </c>
      <c r="B3" s="5" t="s">
        <v>16</v>
      </c>
      <c r="C3" s="27"/>
      <c r="D3" s="140"/>
      <c r="F3" s="25" t="s">
        <v>71</v>
      </c>
    </row>
    <row r="4" spans="1:13" ht="17">
      <c r="A4" s="3" t="s">
        <v>89</v>
      </c>
      <c r="B4" s="6" t="s">
        <v>17</v>
      </c>
      <c r="C4" s="28"/>
      <c r="D4" s="14">
        <v>0</v>
      </c>
      <c r="F4" s="2" t="s">
        <v>72</v>
      </c>
    </row>
    <row r="5" spans="1:13" ht="17">
      <c r="A5" s="3" t="s">
        <v>90</v>
      </c>
      <c r="B5" s="6" t="s">
        <v>18</v>
      </c>
      <c r="C5" s="28"/>
      <c r="D5" s="14">
        <v>7</v>
      </c>
    </row>
    <row r="6" spans="1:13">
      <c r="A6" s="141" t="s">
        <v>375</v>
      </c>
      <c r="B6" s="43" t="s">
        <v>376</v>
      </c>
      <c r="C6" s="7"/>
      <c r="D6" s="14">
        <v>0</v>
      </c>
    </row>
    <row r="7" spans="1:13" ht="17">
      <c r="A7" s="3" t="s">
        <v>91</v>
      </c>
      <c r="B7" s="6" t="s">
        <v>19</v>
      </c>
      <c r="C7" s="28">
        <v>1</v>
      </c>
      <c r="D7" s="14">
        <v>0</v>
      </c>
    </row>
    <row r="8" spans="1:13">
      <c r="A8" s="3" t="s">
        <v>301</v>
      </c>
      <c r="B8" s="7" t="s">
        <v>302</v>
      </c>
      <c r="C8" s="49"/>
      <c r="D8" s="14">
        <v>1</v>
      </c>
    </row>
    <row r="9" spans="1:13">
      <c r="A9" s="3" t="s">
        <v>303</v>
      </c>
      <c r="B9" s="7" t="s">
        <v>304</v>
      </c>
      <c r="C9" s="49"/>
      <c r="D9" s="14">
        <v>1</v>
      </c>
    </row>
    <row r="10" spans="1:13">
      <c r="A10" s="3" t="s">
        <v>92</v>
      </c>
      <c r="B10" s="7" t="s">
        <v>49</v>
      </c>
      <c r="C10" s="28"/>
      <c r="D10" s="14"/>
    </row>
    <row r="11" spans="1:13" ht="17">
      <c r="A11" s="12" t="s">
        <v>20</v>
      </c>
      <c r="B11" s="5" t="s">
        <v>21</v>
      </c>
      <c r="C11" s="27"/>
      <c r="D11" s="13"/>
    </row>
    <row r="12" spans="1:13" ht="17">
      <c r="A12" s="3" t="s">
        <v>93</v>
      </c>
      <c r="B12" s="6" t="s">
        <v>22</v>
      </c>
      <c r="C12" s="28"/>
      <c r="D12" s="14">
        <v>0</v>
      </c>
    </row>
    <row r="13" spans="1:13" ht="17">
      <c r="A13" s="3" t="s">
        <v>94</v>
      </c>
      <c r="B13" s="6" t="s">
        <v>64</v>
      </c>
      <c r="C13" s="28"/>
      <c r="D13" s="15" t="s">
        <v>61</v>
      </c>
    </row>
    <row r="14" spans="1:13" ht="17">
      <c r="A14" s="3" t="s">
        <v>95</v>
      </c>
      <c r="B14" s="6" t="s">
        <v>63</v>
      </c>
      <c r="C14" s="28"/>
      <c r="D14" s="15" t="s">
        <v>62</v>
      </c>
    </row>
    <row r="15" spans="1:13" ht="17">
      <c r="A15" s="3" t="s">
        <v>96</v>
      </c>
      <c r="B15" s="6" t="s">
        <v>23</v>
      </c>
      <c r="C15" s="28"/>
      <c r="D15" s="14">
        <v>0</v>
      </c>
    </row>
    <row r="16" spans="1:13" ht="17">
      <c r="A16" s="3" t="s">
        <v>97</v>
      </c>
      <c r="B16" s="6" t="s">
        <v>25</v>
      </c>
      <c r="C16" s="28"/>
      <c r="D16" s="14" t="s">
        <v>24</v>
      </c>
    </row>
    <row r="17" spans="1:4" ht="17">
      <c r="A17" s="12" t="s">
        <v>26</v>
      </c>
      <c r="B17" s="5" t="s">
        <v>27</v>
      </c>
      <c r="C17" s="27"/>
      <c r="D17" s="13"/>
    </row>
    <row r="18" spans="1:4" ht="17">
      <c r="A18" s="3" t="s">
        <v>98</v>
      </c>
      <c r="B18" s="6" t="s">
        <v>28</v>
      </c>
      <c r="C18" s="28"/>
      <c r="D18" s="14"/>
    </row>
    <row r="19" spans="1:4" ht="17">
      <c r="A19" s="3" t="s">
        <v>99</v>
      </c>
      <c r="B19" s="6" t="s">
        <v>29</v>
      </c>
      <c r="C19" s="28"/>
      <c r="D19" s="14"/>
    </row>
    <row r="20" spans="1:4" ht="17">
      <c r="A20" s="3" t="s">
        <v>100</v>
      </c>
      <c r="B20" s="6" t="s">
        <v>30</v>
      </c>
      <c r="C20" s="28"/>
      <c r="D20" s="14"/>
    </row>
    <row r="21" spans="1:4" ht="17">
      <c r="A21" s="3" t="s">
        <v>101</v>
      </c>
      <c r="B21" s="6" t="s">
        <v>31</v>
      </c>
      <c r="C21" s="28"/>
      <c r="D21" s="14"/>
    </row>
    <row r="22" spans="1:4" ht="17">
      <c r="A22" s="3" t="s">
        <v>102</v>
      </c>
      <c r="B22" s="6" t="s">
        <v>32</v>
      </c>
      <c r="C22" s="28"/>
      <c r="D22" s="14">
        <v>1</v>
      </c>
    </row>
    <row r="23" spans="1:4" ht="17">
      <c r="A23" s="3" t="s">
        <v>103</v>
      </c>
      <c r="B23" s="6" t="s">
        <v>33</v>
      </c>
      <c r="C23" s="28"/>
      <c r="D23" s="14"/>
    </row>
    <row r="24" spans="1:4" ht="17">
      <c r="A24" s="3" t="s">
        <v>104</v>
      </c>
      <c r="B24" s="6" t="s">
        <v>73</v>
      </c>
      <c r="C24" s="28"/>
      <c r="D24" s="14"/>
    </row>
    <row r="25" spans="1:4" ht="17">
      <c r="A25" s="3" t="s">
        <v>105</v>
      </c>
      <c r="B25" s="6" t="s">
        <v>74</v>
      </c>
      <c r="C25" s="28"/>
      <c r="D25" s="14"/>
    </row>
    <row r="26" spans="1:4" ht="17">
      <c r="A26" s="12" t="s">
        <v>34</v>
      </c>
      <c r="B26" s="5" t="s">
        <v>35</v>
      </c>
      <c r="C26" s="27"/>
      <c r="D26" s="13"/>
    </row>
    <row r="27" spans="1:4" ht="17">
      <c r="A27" s="3" t="s">
        <v>106</v>
      </c>
      <c r="B27" s="6" t="s">
        <v>36</v>
      </c>
      <c r="C27" s="28"/>
      <c r="D27" s="14">
        <v>100</v>
      </c>
    </row>
    <row r="28" spans="1:4" ht="17">
      <c r="A28" s="3" t="s">
        <v>107</v>
      </c>
      <c r="B28" s="6" t="s">
        <v>37</v>
      </c>
      <c r="C28" s="28"/>
      <c r="D28" s="14">
        <v>65535</v>
      </c>
    </row>
    <row r="29" spans="1:4" ht="17">
      <c r="A29" s="3" t="s">
        <v>108</v>
      </c>
      <c r="B29" s="6" t="s">
        <v>38</v>
      </c>
      <c r="C29" s="28"/>
      <c r="D29" s="14">
        <v>10</v>
      </c>
    </row>
    <row r="30" spans="1:4" ht="17">
      <c r="A30" s="3" t="s">
        <v>109</v>
      </c>
      <c r="B30" s="6" t="s">
        <v>39</v>
      </c>
      <c r="C30" s="28"/>
      <c r="D30" s="14">
        <v>0.1</v>
      </c>
    </row>
    <row r="31" spans="1:4" ht="17">
      <c r="A31" s="3" t="s">
        <v>110</v>
      </c>
      <c r="B31" s="6" t="s">
        <v>40</v>
      </c>
      <c r="C31" s="28"/>
      <c r="D31" s="14"/>
    </row>
    <row r="32" spans="1:4" ht="17">
      <c r="A32" s="3" t="s">
        <v>111</v>
      </c>
      <c r="B32" s="6" t="s">
        <v>41</v>
      </c>
      <c r="C32" s="28"/>
      <c r="D32" s="14"/>
    </row>
    <row r="33" spans="1:4" ht="17">
      <c r="A33" s="3" t="s">
        <v>112</v>
      </c>
      <c r="B33" s="6" t="s">
        <v>75</v>
      </c>
      <c r="C33" s="28"/>
      <c r="D33" s="14"/>
    </row>
    <row r="34" spans="1:4" ht="17">
      <c r="A34" s="12" t="s">
        <v>42</v>
      </c>
      <c r="B34" s="5" t="s">
        <v>43</v>
      </c>
      <c r="C34" s="27"/>
      <c r="D34" s="13"/>
    </row>
    <row r="35" spans="1:4" ht="17">
      <c r="A35" s="3" t="s">
        <v>113</v>
      </c>
      <c r="B35" s="6" t="s">
        <v>44</v>
      </c>
      <c r="C35" s="28"/>
      <c r="D35" s="14"/>
    </row>
    <row r="36" spans="1:4" ht="17">
      <c r="A36" s="3" t="s">
        <v>114</v>
      </c>
      <c r="B36" s="6" t="s">
        <v>45</v>
      </c>
      <c r="C36" s="28"/>
      <c r="D36" s="14">
        <v>0.02</v>
      </c>
    </row>
    <row r="37" spans="1:4" ht="17">
      <c r="A37" s="3" t="s">
        <v>115</v>
      </c>
      <c r="B37" s="6" t="s">
        <v>46</v>
      </c>
      <c r="C37" s="28"/>
      <c r="D37" s="14"/>
    </row>
    <row r="38" spans="1:4" ht="17">
      <c r="A38" s="3" t="s">
        <v>116</v>
      </c>
      <c r="B38" s="6" t="s">
        <v>47</v>
      </c>
      <c r="C38" s="28"/>
      <c r="D38" s="14"/>
    </row>
    <row r="39" spans="1:4" ht="17">
      <c r="A39" s="3" t="s">
        <v>117</v>
      </c>
      <c r="B39" s="6" t="s">
        <v>48</v>
      </c>
      <c r="C39" s="28"/>
      <c r="D39" s="14"/>
    </row>
    <row r="40" spans="1:4" ht="17">
      <c r="A40" s="3" t="s">
        <v>118</v>
      </c>
      <c r="B40" s="6" t="s">
        <v>66</v>
      </c>
      <c r="C40" s="28"/>
      <c r="D40" s="15" t="s">
        <v>65</v>
      </c>
    </row>
    <row r="41" spans="1:4" ht="17">
      <c r="A41" s="3" t="s">
        <v>156</v>
      </c>
      <c r="B41" s="6" t="s">
        <v>157</v>
      </c>
      <c r="C41" s="28"/>
      <c r="D41" s="15">
        <v>0</v>
      </c>
    </row>
    <row r="42" spans="1:4">
      <c r="A42" s="12" t="s">
        <v>381</v>
      </c>
      <c r="B42" s="8" t="s">
        <v>382</v>
      </c>
      <c r="C42" s="142"/>
      <c r="D42" s="144"/>
    </row>
    <row r="43" spans="1:4">
      <c r="A43" s="3" t="s">
        <v>383</v>
      </c>
      <c r="B43" s="7" t="s">
        <v>384</v>
      </c>
      <c r="C43" s="48"/>
      <c r="D43" s="145">
        <v>0.02</v>
      </c>
    </row>
    <row r="44" spans="1:4">
      <c r="A44" s="3" t="s">
        <v>385</v>
      </c>
      <c r="B44" s="7" t="s">
        <v>386</v>
      </c>
      <c r="C44" s="48"/>
      <c r="D44" s="145"/>
    </row>
    <row r="45" spans="1:4">
      <c r="A45" s="3" t="s">
        <v>387</v>
      </c>
      <c r="B45" s="7" t="s">
        <v>388</v>
      </c>
      <c r="C45" s="48"/>
      <c r="D45" s="145"/>
    </row>
    <row r="46" spans="1:4">
      <c r="A46" s="3" t="s">
        <v>389</v>
      </c>
      <c r="B46" s="7" t="s">
        <v>390</v>
      </c>
      <c r="C46" s="48"/>
      <c r="D46" s="145"/>
    </row>
    <row r="47" spans="1:4">
      <c r="A47" s="3" t="s">
        <v>391</v>
      </c>
      <c r="B47" s="7" t="s">
        <v>392</v>
      </c>
      <c r="C47" s="48"/>
      <c r="D47" s="15" t="s">
        <v>65</v>
      </c>
    </row>
    <row r="48" spans="1:4" ht="17">
      <c r="A48" s="12" t="s">
        <v>50</v>
      </c>
      <c r="B48" s="5" t="s">
        <v>51</v>
      </c>
      <c r="C48" s="27"/>
      <c r="D48" s="13"/>
    </row>
    <row r="49" spans="1:4">
      <c r="A49" s="3" t="s">
        <v>119</v>
      </c>
      <c r="B49" s="6"/>
      <c r="C49" s="28"/>
      <c r="D49" s="14"/>
    </row>
    <row r="50" spans="1:4" ht="17">
      <c r="A50" s="3" t="s">
        <v>120</v>
      </c>
      <c r="B50" s="6" t="s">
        <v>77</v>
      </c>
      <c r="C50" s="28"/>
      <c r="D50" s="14"/>
    </row>
    <row r="51" spans="1:4" ht="17">
      <c r="A51" s="3" t="s">
        <v>121</v>
      </c>
      <c r="B51" s="6" t="s">
        <v>78</v>
      </c>
      <c r="C51" s="28"/>
      <c r="D51" s="14"/>
    </row>
    <row r="52" spans="1:4" ht="17">
      <c r="A52" s="3" t="s">
        <v>122</v>
      </c>
      <c r="B52" s="6" t="s">
        <v>79</v>
      </c>
      <c r="C52" s="28"/>
      <c r="D52" s="14"/>
    </row>
    <row r="53" spans="1:4" ht="17">
      <c r="A53" s="3" t="s">
        <v>158</v>
      </c>
      <c r="B53" s="6" t="s">
        <v>159</v>
      </c>
      <c r="C53" s="28"/>
      <c r="D53" s="14"/>
    </row>
    <row r="54" spans="1:4" ht="17">
      <c r="A54" s="3" t="s">
        <v>123</v>
      </c>
      <c r="B54" s="6" t="s">
        <v>81</v>
      </c>
      <c r="C54" s="28"/>
      <c r="D54" s="14"/>
    </row>
    <row r="55" spans="1:4" ht="17">
      <c r="A55" s="3" t="s">
        <v>124</v>
      </c>
      <c r="B55" s="6" t="s">
        <v>82</v>
      </c>
      <c r="C55" s="28"/>
      <c r="D55" s="14"/>
    </row>
    <row r="56" spans="1:4" ht="17">
      <c r="A56" s="3" t="s">
        <v>125</v>
      </c>
      <c r="B56" s="6" t="s">
        <v>80</v>
      </c>
      <c r="C56" s="28"/>
      <c r="D56" s="14"/>
    </row>
    <row r="57" spans="1:4" ht="17">
      <c r="A57" s="3" t="s">
        <v>126</v>
      </c>
      <c r="B57" s="6" t="s">
        <v>83</v>
      </c>
      <c r="C57" s="28"/>
      <c r="D57" s="14"/>
    </row>
    <row r="58" spans="1:4" ht="17">
      <c r="A58" s="3" t="s">
        <v>127</v>
      </c>
      <c r="B58" s="6" t="s">
        <v>84</v>
      </c>
      <c r="C58" s="28"/>
      <c r="D58" s="14"/>
    </row>
    <row r="59" spans="1:4" ht="17">
      <c r="A59" s="3" t="s">
        <v>128</v>
      </c>
      <c r="B59" s="6" t="s">
        <v>85</v>
      </c>
      <c r="C59" s="28"/>
      <c r="D59" s="14"/>
    </row>
    <row r="60" spans="1:4" ht="17">
      <c r="A60" s="3" t="s">
        <v>129</v>
      </c>
      <c r="B60" s="6" t="s">
        <v>52</v>
      </c>
      <c r="C60" s="28"/>
      <c r="D60" s="14">
        <v>1</v>
      </c>
    </row>
    <row r="61" spans="1:4" ht="17">
      <c r="A61" s="3" t="s">
        <v>130</v>
      </c>
      <c r="B61" s="6" t="s">
        <v>53</v>
      </c>
      <c r="C61" s="28"/>
      <c r="D61" s="14">
        <v>1</v>
      </c>
    </row>
    <row r="62" spans="1:4" ht="17">
      <c r="A62" s="3" t="s">
        <v>131</v>
      </c>
      <c r="B62" s="6" t="s">
        <v>54</v>
      </c>
      <c r="C62" s="28"/>
      <c r="D62" s="14">
        <v>1</v>
      </c>
    </row>
    <row r="63" spans="1:4" ht="17">
      <c r="A63" s="3" t="s">
        <v>132</v>
      </c>
      <c r="B63" s="6" t="s">
        <v>55</v>
      </c>
      <c r="C63" s="28"/>
      <c r="D63" s="14">
        <v>1</v>
      </c>
    </row>
    <row r="64" spans="1:4" ht="17">
      <c r="A64" s="3" t="s">
        <v>133</v>
      </c>
      <c r="B64" s="6" t="s">
        <v>56</v>
      </c>
      <c r="C64" s="28"/>
      <c r="D64" s="14">
        <v>1</v>
      </c>
    </row>
    <row r="65" spans="1:4" ht="17">
      <c r="A65" s="3" t="s">
        <v>134</v>
      </c>
      <c r="B65" s="6" t="s">
        <v>57</v>
      </c>
      <c r="C65" s="28"/>
      <c r="D65" s="14">
        <v>0</v>
      </c>
    </row>
    <row r="66" spans="1:4" ht="17">
      <c r="A66" s="3" t="s">
        <v>135</v>
      </c>
      <c r="B66" s="6" t="s">
        <v>76</v>
      </c>
      <c r="C66" s="28"/>
      <c r="D66" s="14"/>
    </row>
    <row r="67" spans="1:4" ht="17">
      <c r="A67" s="3" t="s">
        <v>136</v>
      </c>
      <c r="B67" s="6" t="s">
        <v>58</v>
      </c>
      <c r="C67" s="28"/>
      <c r="D67" s="14"/>
    </row>
    <row r="68" spans="1:4">
      <c r="A68" s="12" t="s">
        <v>137</v>
      </c>
      <c r="B68" s="8" t="s">
        <v>138</v>
      </c>
      <c r="C68" s="27"/>
      <c r="D68" s="26"/>
    </row>
    <row r="69" spans="1:4">
      <c r="A69" s="3" t="s">
        <v>139</v>
      </c>
      <c r="B69" s="7" t="s">
        <v>140</v>
      </c>
      <c r="C69" s="28"/>
      <c r="D69" s="16">
        <v>0</v>
      </c>
    </row>
    <row r="70" spans="1:4">
      <c r="A70" s="12" t="s">
        <v>266</v>
      </c>
      <c r="B70" s="8" t="s">
        <v>394</v>
      </c>
      <c r="C70" s="27"/>
      <c r="D70" s="26"/>
    </row>
    <row r="71" spans="1:4">
      <c r="A71" s="3" t="s">
        <v>267</v>
      </c>
      <c r="B71" s="7" t="s">
        <v>268</v>
      </c>
      <c r="C71" s="28"/>
      <c r="D71" s="16">
        <v>0</v>
      </c>
    </row>
    <row r="72" spans="1:4">
      <c r="A72" s="12" t="s">
        <v>377</v>
      </c>
      <c r="B72" s="143" t="s">
        <v>378</v>
      </c>
      <c r="C72" s="27"/>
      <c r="D72" s="26"/>
    </row>
    <row r="73" spans="1:4">
      <c r="A73" s="3" t="s">
        <v>379</v>
      </c>
      <c r="B73" s="7" t="s">
        <v>380</v>
      </c>
      <c r="C73" s="28"/>
      <c r="D73" s="16">
        <v>1</v>
      </c>
    </row>
    <row r="74" spans="1:4">
      <c r="A74" s="12" t="s">
        <v>145</v>
      </c>
      <c r="B74" s="8" t="s">
        <v>146</v>
      </c>
      <c r="C74" s="27"/>
      <c r="D74" s="26"/>
    </row>
    <row r="75" spans="1:4" ht="17" thickBot="1">
      <c r="A75" s="17" t="s">
        <v>147</v>
      </c>
      <c r="B75" s="18" t="s">
        <v>148</v>
      </c>
      <c r="C75" s="29"/>
      <c r="D75" s="19">
        <v>0</v>
      </c>
    </row>
  </sheetData>
  <sheetProtection selectLockedCells="1"/>
  <mergeCells count="1">
    <mergeCell ref="A1:D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17"/>
  <sheetViews>
    <sheetView workbookViewId="0">
      <selection activeCell="J9" sqref="J9"/>
    </sheetView>
  </sheetViews>
  <sheetFormatPr baseColWidth="10" defaultColWidth="8.83203125" defaultRowHeight="16"/>
  <cols>
    <col min="1" max="1" width="27.6640625" customWidth="1"/>
  </cols>
  <sheetData>
    <row r="1" spans="1:3">
      <c r="A1" s="324" t="s">
        <v>1296</v>
      </c>
    </row>
    <row r="2" spans="1:3" ht="18">
      <c r="A2" s="325" t="s">
        <v>1297</v>
      </c>
      <c r="B2" s="325" t="s">
        <v>1298</v>
      </c>
    </row>
    <row r="3" spans="1:3">
      <c r="A3" s="325" t="s">
        <v>1299</v>
      </c>
      <c r="B3" s="325" t="s">
        <v>1300</v>
      </c>
      <c r="C3" s="325" t="s">
        <v>1301</v>
      </c>
    </row>
    <row r="4" spans="1:3">
      <c r="A4" s="325"/>
    </row>
    <row r="5" spans="1:3">
      <c r="A5" s="324" t="s">
        <v>1302</v>
      </c>
    </row>
    <row r="6" spans="1:3">
      <c r="A6" s="326" t="s">
        <v>1303</v>
      </c>
    </row>
    <row r="7" spans="1:3">
      <c r="A7" s="326" t="s">
        <v>1304</v>
      </c>
    </row>
    <row r="8" spans="1:3">
      <c r="A8" s="326" t="s">
        <v>1305</v>
      </c>
    </row>
    <row r="9" spans="1:3">
      <c r="A9" s="326" t="s">
        <v>1306</v>
      </c>
    </row>
    <row r="10" spans="1:3">
      <c r="A10" s="326" t="s">
        <v>1307</v>
      </c>
    </row>
    <row r="11" spans="1:3">
      <c r="A11" s="326" t="s">
        <v>1308</v>
      </c>
    </row>
    <row r="12" spans="1:3">
      <c r="A12" s="326" t="s">
        <v>1309</v>
      </c>
    </row>
    <row r="13" spans="1:3">
      <c r="A13" s="324" t="s">
        <v>150</v>
      </c>
    </row>
    <row r="14" spans="1:3">
      <c r="A14" s="326" t="s">
        <v>1310</v>
      </c>
    </row>
    <row r="15" spans="1:3">
      <c r="A15" s="326" t="s">
        <v>1311</v>
      </c>
    </row>
    <row r="16" spans="1:3">
      <c r="A16" s="326" t="s">
        <v>1312</v>
      </c>
    </row>
    <row r="17" spans="1:1">
      <c r="A17" s="326" t="s">
        <v>1313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181"/>
  <sheetViews>
    <sheetView topLeftCell="A157" zoomScale="78" zoomScaleNormal="78" workbookViewId="0">
      <selection activeCell="G162" sqref="G162"/>
    </sheetView>
  </sheetViews>
  <sheetFormatPr baseColWidth="10" defaultColWidth="8.83203125" defaultRowHeight="16"/>
  <sheetData>
    <row r="1" spans="1:16">
      <c r="A1" t="s">
        <v>1173</v>
      </c>
    </row>
    <row r="2" spans="1:16">
      <c r="A2" t="s">
        <v>1174</v>
      </c>
    </row>
    <row r="4" spans="1:16">
      <c r="A4" s="460" t="s">
        <v>1175</v>
      </c>
      <c r="B4" s="460"/>
      <c r="C4" s="460"/>
      <c r="D4" s="460"/>
      <c r="E4" s="460"/>
      <c r="F4" s="460"/>
      <c r="G4" s="460"/>
      <c r="H4" s="460"/>
      <c r="I4" s="460"/>
      <c r="J4" s="460"/>
      <c r="K4" s="460"/>
      <c r="L4" s="460"/>
      <c r="M4" s="460"/>
      <c r="N4" s="460"/>
      <c r="O4" s="460"/>
      <c r="P4" s="460"/>
    </row>
    <row r="5" spans="1:16">
      <c r="A5" s="459" t="s">
        <v>1176</v>
      </c>
      <c r="B5" s="459"/>
      <c r="C5" s="459"/>
      <c r="D5" s="459"/>
      <c r="E5" s="459"/>
      <c r="F5" s="459"/>
      <c r="G5" s="459"/>
      <c r="H5" s="459"/>
      <c r="I5" s="459"/>
      <c r="J5" s="459"/>
      <c r="K5" s="459"/>
      <c r="L5" s="459"/>
      <c r="M5" s="459"/>
      <c r="N5" s="459"/>
      <c r="O5" s="459"/>
      <c r="P5" s="459"/>
    </row>
    <row r="6" spans="1:16">
      <c r="A6" t="s">
        <v>1177</v>
      </c>
    </row>
    <row r="7" spans="1:16">
      <c r="B7" t="s">
        <v>1178</v>
      </c>
    </row>
    <row r="8" spans="1:16">
      <c r="A8" t="s">
        <v>1179</v>
      </c>
    </row>
    <row r="9" spans="1:16">
      <c r="B9" t="s">
        <v>1180</v>
      </c>
    </row>
    <row r="10" spans="1:16">
      <c r="A10" t="s">
        <v>1181</v>
      </c>
    </row>
    <row r="11" spans="1:16">
      <c r="A11" t="s">
        <v>1182</v>
      </c>
    </row>
    <row r="12" spans="1:16">
      <c r="B12" t="s">
        <v>1183</v>
      </c>
    </row>
    <row r="13" spans="1:16">
      <c r="A13" t="s">
        <v>1184</v>
      </c>
    </row>
    <row r="14" spans="1:16">
      <c r="A14" t="s">
        <v>1185</v>
      </c>
    </row>
    <row r="16" spans="1:16">
      <c r="A16" t="s">
        <v>1186</v>
      </c>
    </row>
    <row r="18" spans="1:16">
      <c r="A18" s="459" t="s">
        <v>1187</v>
      </c>
      <c r="B18" s="459"/>
      <c r="C18" s="459"/>
      <c r="D18" s="459"/>
      <c r="E18" s="459"/>
      <c r="F18" s="459"/>
      <c r="G18" s="459"/>
      <c r="H18" s="459"/>
      <c r="I18" s="459"/>
      <c r="J18" s="459"/>
      <c r="K18" s="459"/>
      <c r="L18" s="459"/>
      <c r="M18" s="459"/>
      <c r="N18" s="459"/>
      <c r="O18" s="459"/>
      <c r="P18" s="459"/>
    </row>
    <row r="19" spans="1:16">
      <c r="A19" t="s">
        <v>1188</v>
      </c>
    </row>
    <row r="20" spans="1:16">
      <c r="A20" t="s">
        <v>1189</v>
      </c>
    </row>
    <row r="21" spans="1:16">
      <c r="A21" t="s">
        <v>1190</v>
      </c>
    </row>
    <row r="22" spans="1:16">
      <c r="A22" t="s">
        <v>1191</v>
      </c>
    </row>
    <row r="23" spans="1:16">
      <c r="A23" t="s">
        <v>1192</v>
      </c>
    </row>
    <row r="24" spans="1:16">
      <c r="A24" t="s">
        <v>1193</v>
      </c>
    </row>
    <row r="25" spans="1:16">
      <c r="A25" t="s">
        <v>1194</v>
      </c>
    </row>
    <row r="26" spans="1:16">
      <c r="A26" t="s">
        <v>1195</v>
      </c>
    </row>
    <row r="27" spans="1:16">
      <c r="A27" t="s">
        <v>1196</v>
      </c>
    </row>
    <row r="29" spans="1:16">
      <c r="A29" s="459" t="s">
        <v>1197</v>
      </c>
      <c r="B29" s="459"/>
      <c r="C29" s="459"/>
      <c r="D29" s="459"/>
      <c r="E29" s="459"/>
      <c r="F29" s="459"/>
      <c r="G29" s="459"/>
      <c r="H29" s="459"/>
      <c r="I29" s="459"/>
      <c r="J29" s="459"/>
      <c r="K29" s="459"/>
      <c r="L29" s="459"/>
      <c r="M29" s="459"/>
      <c r="N29" s="459"/>
      <c r="O29" s="459"/>
      <c r="P29" s="459"/>
    </row>
    <row r="30" spans="1:16">
      <c r="A30" t="s">
        <v>1198</v>
      </c>
      <c r="F30" t="s">
        <v>1199</v>
      </c>
      <c r="L30" t="s">
        <v>1195</v>
      </c>
    </row>
    <row r="31" spans="1:16">
      <c r="A31" t="s">
        <v>1200</v>
      </c>
      <c r="F31" t="s">
        <v>1201</v>
      </c>
      <c r="L31" t="s">
        <v>1202</v>
      </c>
    </row>
    <row r="32" spans="1:16">
      <c r="A32" t="s">
        <v>1203</v>
      </c>
      <c r="L32" t="s">
        <v>1204</v>
      </c>
    </row>
    <row r="33" spans="1:20">
      <c r="A33" t="s">
        <v>1205</v>
      </c>
    </row>
    <row r="34" spans="1:20">
      <c r="A34" t="s">
        <v>1206</v>
      </c>
    </row>
    <row r="35" spans="1:20">
      <c r="A35" t="s">
        <v>1207</v>
      </c>
    </row>
    <row r="36" spans="1:20">
      <c r="A36" t="s">
        <v>1208</v>
      </c>
    </row>
    <row r="38" spans="1:20">
      <c r="A38" s="459" t="s">
        <v>1209</v>
      </c>
      <c r="B38" s="459"/>
      <c r="C38" s="459"/>
      <c r="D38" s="459"/>
      <c r="E38" s="459"/>
      <c r="F38" s="459"/>
      <c r="G38" s="459"/>
      <c r="H38" s="459"/>
      <c r="I38" s="459"/>
      <c r="J38" s="459"/>
      <c r="K38" s="459"/>
      <c r="L38" s="459"/>
      <c r="M38" s="459"/>
      <c r="N38" s="459"/>
      <c r="O38" s="459"/>
      <c r="P38" s="459"/>
    </row>
    <row r="39" spans="1:20">
      <c r="A39" t="s">
        <v>1210</v>
      </c>
    </row>
    <row r="41" spans="1:20">
      <c r="A41" t="s">
        <v>1211</v>
      </c>
    </row>
    <row r="43" spans="1:20">
      <c r="A43" t="s">
        <v>1212</v>
      </c>
      <c r="T43" s="322"/>
    </row>
    <row r="44" spans="1:20">
      <c r="A44" t="s">
        <v>1213</v>
      </c>
      <c r="T44" s="322"/>
    </row>
    <row r="45" spans="1:20">
      <c r="A45" t="s">
        <v>1214</v>
      </c>
      <c r="T45" s="322"/>
    </row>
    <row r="46" spans="1:20">
      <c r="A46" t="s">
        <v>1215</v>
      </c>
      <c r="T46" s="322"/>
    </row>
    <row r="48" spans="1:20">
      <c r="A48" t="s">
        <v>1216</v>
      </c>
    </row>
    <row r="50" spans="1:16">
      <c r="A50" t="s">
        <v>1217</v>
      </c>
    </row>
    <row r="52" spans="1:16">
      <c r="A52" t="s">
        <v>1218</v>
      </c>
    </row>
    <row r="54" spans="1:16">
      <c r="A54" s="459" t="s">
        <v>1219</v>
      </c>
      <c r="B54" s="459"/>
      <c r="C54" s="459"/>
      <c r="D54" s="459"/>
      <c r="E54" s="459"/>
      <c r="F54" s="459"/>
      <c r="G54" s="459"/>
      <c r="H54" s="459"/>
      <c r="I54" s="459"/>
      <c r="J54" s="459"/>
      <c r="K54" s="459"/>
      <c r="L54" s="459"/>
      <c r="M54" s="459"/>
      <c r="N54" s="459"/>
      <c r="O54" s="459"/>
      <c r="P54" s="459"/>
    </row>
    <row r="55" spans="1:16">
      <c r="A55" t="s">
        <v>1220</v>
      </c>
    </row>
    <row r="56" spans="1:16">
      <c r="A56" t="s">
        <v>1221</v>
      </c>
      <c r="C56" t="s">
        <v>1222</v>
      </c>
    </row>
    <row r="58" spans="1:16">
      <c r="A58" t="s">
        <v>1223</v>
      </c>
    </row>
    <row r="60" spans="1:16">
      <c r="A60" t="s">
        <v>1224</v>
      </c>
    </row>
    <row r="62" spans="1:16">
      <c r="A62" t="s">
        <v>1225</v>
      </c>
    </row>
    <row r="63" spans="1:16">
      <c r="A63" t="s">
        <v>1226</v>
      </c>
    </row>
    <row r="65" spans="1:16">
      <c r="A65" t="s">
        <v>1227</v>
      </c>
    </row>
    <row r="67" spans="1:16">
      <c r="A67" t="s">
        <v>1228</v>
      </c>
    </row>
    <row r="69" spans="1:16">
      <c r="A69" t="s">
        <v>1229</v>
      </c>
    </row>
    <row r="72" spans="1:16">
      <c r="A72" t="s">
        <v>1230</v>
      </c>
    </row>
    <row r="74" spans="1:16">
      <c r="A74" t="s">
        <v>1231</v>
      </c>
    </row>
    <row r="76" spans="1:16">
      <c r="A76" t="s">
        <v>1232</v>
      </c>
    </row>
    <row r="79" spans="1:16">
      <c r="A79" s="459" t="s">
        <v>1233</v>
      </c>
      <c r="B79" s="459"/>
      <c r="C79" s="459"/>
      <c r="D79" s="459"/>
      <c r="E79" s="459"/>
      <c r="F79" s="459"/>
      <c r="G79" s="459"/>
      <c r="H79" s="459"/>
      <c r="I79" s="459"/>
      <c r="J79" s="459"/>
      <c r="K79" s="459"/>
      <c r="L79" s="459"/>
      <c r="M79" s="459"/>
      <c r="N79" s="459"/>
      <c r="O79" s="459"/>
      <c r="P79" s="459"/>
    </row>
    <row r="80" spans="1:16">
      <c r="A80" t="s">
        <v>1234</v>
      </c>
    </row>
    <row r="82" spans="1:20">
      <c r="A82" t="s">
        <v>1235</v>
      </c>
      <c r="D82" t="s">
        <v>1236</v>
      </c>
    </row>
    <row r="84" spans="1:20">
      <c r="A84" t="s">
        <v>1237</v>
      </c>
      <c r="D84" t="s">
        <v>1238</v>
      </c>
    </row>
    <row r="85" spans="1:20">
      <c r="D85" t="s">
        <v>1239</v>
      </c>
    </row>
    <row r="86" spans="1:20">
      <c r="D86" t="s">
        <v>1240</v>
      </c>
    </row>
    <row r="87" spans="1:20">
      <c r="D87" t="s">
        <v>1241</v>
      </c>
    </row>
    <row r="89" spans="1:20">
      <c r="A89" t="s">
        <v>1242</v>
      </c>
      <c r="D89" t="s">
        <v>1243</v>
      </c>
      <c r="T89" s="322"/>
    </row>
    <row r="91" spans="1:20">
      <c r="A91" t="s">
        <v>1244</v>
      </c>
      <c r="D91" t="s">
        <v>1245</v>
      </c>
    </row>
    <row r="92" spans="1:20">
      <c r="D92" t="s">
        <v>1246</v>
      </c>
    </row>
    <row r="93" spans="1:20">
      <c r="D93" t="s">
        <v>1247</v>
      </c>
    </row>
    <row r="96" spans="1:20">
      <c r="A96" s="460" t="s">
        <v>1248</v>
      </c>
      <c r="B96" s="460"/>
      <c r="C96" s="460"/>
      <c r="D96" s="460"/>
      <c r="E96" s="460"/>
    </row>
    <row r="98" spans="1:24">
      <c r="A98" t="s">
        <v>1249</v>
      </c>
      <c r="X98" s="322"/>
    </row>
    <row r="100" spans="1:24">
      <c r="A100" t="s">
        <v>1250</v>
      </c>
    </row>
    <row r="102" spans="1:24">
      <c r="A102" t="s">
        <v>1251</v>
      </c>
    </row>
    <row r="104" spans="1:24">
      <c r="A104" t="s">
        <v>1252</v>
      </c>
    </row>
    <row r="106" spans="1:24">
      <c r="A106" t="s">
        <v>1253</v>
      </c>
    </row>
    <row r="108" spans="1:24">
      <c r="A108" t="s">
        <v>1254</v>
      </c>
    </row>
    <row r="110" spans="1:24">
      <c r="A110" t="s">
        <v>1255</v>
      </c>
      <c r="T110" t="s">
        <v>1256</v>
      </c>
      <c r="V110" t="s">
        <v>1257</v>
      </c>
    </row>
    <row r="112" spans="1:24">
      <c r="A112" t="s">
        <v>1258</v>
      </c>
    </row>
    <row r="114" spans="1:5">
      <c r="A114" s="460" t="s">
        <v>1259</v>
      </c>
      <c r="B114" s="460"/>
      <c r="C114" s="460"/>
      <c r="D114" s="460"/>
      <c r="E114" s="460"/>
    </row>
    <row r="116" spans="1:5">
      <c r="A116" t="s">
        <v>1260</v>
      </c>
    </row>
    <row r="118" spans="1:5">
      <c r="A118" t="s">
        <v>1261</v>
      </c>
    </row>
    <row r="120" spans="1:5">
      <c r="A120" t="s">
        <v>1262</v>
      </c>
    </row>
    <row r="122" spans="1:5">
      <c r="A122" t="s">
        <v>1263</v>
      </c>
    </row>
    <row r="124" spans="1:5">
      <c r="A124" t="s">
        <v>1264</v>
      </c>
    </row>
    <row r="126" spans="1:5">
      <c r="A126" t="s">
        <v>1265</v>
      </c>
    </row>
    <row r="128" spans="1:5">
      <c r="A128" t="s">
        <v>1266</v>
      </c>
    </row>
    <row r="130" spans="1:16">
      <c r="A130" s="459" t="s">
        <v>1267</v>
      </c>
      <c r="B130" s="459"/>
      <c r="C130" s="459"/>
      <c r="D130" s="459"/>
      <c r="E130" s="459"/>
      <c r="F130" s="459"/>
      <c r="G130" s="459"/>
      <c r="H130" s="459"/>
      <c r="I130" s="459"/>
      <c r="J130" s="459"/>
      <c r="K130" s="459"/>
      <c r="L130" s="459"/>
      <c r="M130" s="459"/>
      <c r="N130" s="459"/>
      <c r="O130" s="459"/>
      <c r="P130" s="459"/>
    </row>
    <row r="132" spans="1:16">
      <c r="A132" s="460" t="s">
        <v>1268</v>
      </c>
      <c r="B132" s="460"/>
      <c r="C132" s="460"/>
      <c r="D132" s="460"/>
      <c r="E132" s="460"/>
    </row>
    <row r="133" spans="1:16">
      <c r="A133" t="s">
        <v>1269</v>
      </c>
    </row>
    <row r="134" spans="1:16">
      <c r="A134" t="s">
        <v>1270</v>
      </c>
    </row>
    <row r="135" spans="1:16">
      <c r="A135" t="s">
        <v>1271</v>
      </c>
    </row>
    <row r="137" spans="1:16">
      <c r="A137" s="460" t="s">
        <v>1272</v>
      </c>
      <c r="B137" s="460"/>
      <c r="C137" s="460"/>
      <c r="D137" s="460"/>
      <c r="E137" s="460"/>
    </row>
    <row r="139" spans="1:16">
      <c r="A139" t="s">
        <v>1273</v>
      </c>
    </row>
    <row r="141" spans="1:16">
      <c r="A141" t="s">
        <v>1274</v>
      </c>
    </row>
    <row r="143" spans="1:16">
      <c r="A143" t="s">
        <v>1275</v>
      </c>
    </row>
    <row r="145" spans="1:5">
      <c r="A145" t="s">
        <v>1276</v>
      </c>
    </row>
    <row r="147" spans="1:5">
      <c r="A147" t="s">
        <v>1277</v>
      </c>
    </row>
    <row r="149" spans="1:5">
      <c r="A149" t="s">
        <v>1278</v>
      </c>
    </row>
    <row r="151" spans="1:5">
      <c r="A151" s="322" t="s">
        <v>1279</v>
      </c>
    </row>
    <row r="153" spans="1:5">
      <c r="A153" t="s">
        <v>1280</v>
      </c>
    </row>
    <row r="155" spans="1:5">
      <c r="A155" t="s">
        <v>1281</v>
      </c>
    </row>
    <row r="157" spans="1:5">
      <c r="A157" s="459" t="s">
        <v>1282</v>
      </c>
      <c r="B157" s="459"/>
      <c r="C157" s="459"/>
      <c r="D157" s="459"/>
      <c r="E157" s="459"/>
    </row>
    <row r="159" spans="1:5">
      <c r="A159" s="460" t="s">
        <v>1283</v>
      </c>
      <c r="B159" s="460"/>
      <c r="C159" s="460"/>
      <c r="D159" s="460"/>
      <c r="E159" s="460"/>
    </row>
    <row r="161" spans="1:5">
      <c r="A161" t="s">
        <v>1284</v>
      </c>
    </row>
    <row r="162" spans="1:5">
      <c r="B162" t="s">
        <v>1285</v>
      </c>
    </row>
    <row r="164" spans="1:5">
      <c r="A164" s="460" t="s">
        <v>1286</v>
      </c>
      <c r="B164" s="460"/>
      <c r="C164" s="460"/>
      <c r="D164" s="460"/>
      <c r="E164" s="460"/>
    </row>
    <row r="166" spans="1:5">
      <c r="A166" t="s">
        <v>1287</v>
      </c>
    </row>
    <row r="168" spans="1:5">
      <c r="A168" t="s">
        <v>1288</v>
      </c>
    </row>
    <row r="169" spans="1:5">
      <c r="B169" t="s">
        <v>1289</v>
      </c>
    </row>
    <row r="171" spans="1:5">
      <c r="A171" t="s">
        <v>1290</v>
      </c>
    </row>
    <row r="173" spans="1:5">
      <c r="A173" t="s">
        <v>1291</v>
      </c>
    </row>
    <row r="175" spans="1:5">
      <c r="A175" s="460" t="s">
        <v>1292</v>
      </c>
      <c r="B175" s="460"/>
      <c r="C175" s="460"/>
      <c r="D175" s="460"/>
      <c r="E175" s="460"/>
    </row>
    <row r="177" spans="1:1">
      <c r="A177" t="s">
        <v>1293</v>
      </c>
    </row>
    <row r="179" spans="1:1">
      <c r="A179" t="s">
        <v>1294</v>
      </c>
    </row>
    <row r="181" spans="1:1" s="323" customFormat="1">
      <c r="A181" s="323" t="s">
        <v>1295</v>
      </c>
    </row>
  </sheetData>
  <mergeCells count="16">
    <mergeCell ref="A157:E157"/>
    <mergeCell ref="A159:E159"/>
    <mergeCell ref="A164:E164"/>
    <mergeCell ref="A175:E175"/>
    <mergeCell ref="A79:P79"/>
    <mergeCell ref="A96:E96"/>
    <mergeCell ref="A114:E114"/>
    <mergeCell ref="A130:P130"/>
    <mergeCell ref="A132:E132"/>
    <mergeCell ref="A137:E137"/>
    <mergeCell ref="A54:P54"/>
    <mergeCell ref="A4:P4"/>
    <mergeCell ref="A5:P5"/>
    <mergeCell ref="A18:P18"/>
    <mergeCell ref="A29:P29"/>
    <mergeCell ref="A38:P38"/>
  </mergeCells>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Q72"/>
  <sheetViews>
    <sheetView zoomScale="89" zoomScaleNormal="89" workbookViewId="0">
      <selection activeCell="M16" sqref="M16"/>
    </sheetView>
  </sheetViews>
  <sheetFormatPr baseColWidth="10" defaultColWidth="8.83203125" defaultRowHeight="16"/>
  <sheetData>
    <row r="1" spans="1:16">
      <c r="A1" s="459" t="s">
        <v>1314</v>
      </c>
      <c r="B1" s="459"/>
      <c r="C1" s="459"/>
      <c r="D1" s="459"/>
      <c r="E1" s="459"/>
      <c r="F1" s="459"/>
      <c r="G1" s="459"/>
      <c r="H1" s="459"/>
      <c r="I1" s="459"/>
      <c r="J1" s="459"/>
      <c r="K1" s="459"/>
      <c r="L1" s="459"/>
      <c r="M1" s="459"/>
      <c r="N1" s="459"/>
      <c r="O1" s="459"/>
      <c r="P1" s="459"/>
    </row>
    <row r="3" spans="1:16">
      <c r="A3" s="459" t="s">
        <v>1315</v>
      </c>
      <c r="B3" s="459"/>
      <c r="C3" s="459"/>
      <c r="D3" s="459"/>
      <c r="E3" s="459"/>
      <c r="F3" s="459"/>
      <c r="G3" s="459"/>
      <c r="H3" s="459"/>
      <c r="I3" s="459"/>
      <c r="J3" s="459"/>
      <c r="K3" s="459"/>
      <c r="L3" s="459"/>
      <c r="M3" s="459"/>
      <c r="N3" s="459"/>
      <c r="O3" s="459"/>
      <c r="P3" s="459"/>
    </row>
    <row r="4" spans="1:16">
      <c r="A4" t="s">
        <v>1316</v>
      </c>
    </row>
    <row r="5" spans="1:16">
      <c r="A5" t="s">
        <v>1317</v>
      </c>
    </row>
    <row r="6" spans="1:16">
      <c r="A6" t="s">
        <v>1318</v>
      </c>
    </row>
    <row r="8" spans="1:16">
      <c r="A8" s="460" t="s">
        <v>1319</v>
      </c>
      <c r="B8" s="460"/>
      <c r="C8" s="460"/>
      <c r="D8" s="460"/>
      <c r="E8" s="460"/>
      <c r="F8" s="460"/>
      <c r="G8" s="460"/>
      <c r="H8" s="460"/>
      <c r="I8" s="460"/>
      <c r="J8" s="460"/>
      <c r="K8" s="460"/>
      <c r="L8" s="460"/>
      <c r="M8" s="460"/>
      <c r="N8" s="460"/>
      <c r="O8" s="460"/>
      <c r="P8" s="460"/>
    </row>
    <row r="10" spans="1:16">
      <c r="A10" t="s">
        <v>1320</v>
      </c>
    </row>
    <row r="11" spans="1:16">
      <c r="A11" t="s">
        <v>1321</v>
      </c>
    </row>
    <row r="22" spans="1:16">
      <c r="A22" s="460" t="s">
        <v>1322</v>
      </c>
      <c r="B22" s="460"/>
      <c r="C22" s="460"/>
      <c r="D22" s="460"/>
      <c r="E22" s="460"/>
      <c r="F22" s="460"/>
      <c r="G22" s="460"/>
      <c r="H22" s="460"/>
      <c r="I22" s="460"/>
      <c r="J22" s="460"/>
      <c r="K22" s="460"/>
      <c r="L22" s="460"/>
      <c r="M22" s="460"/>
      <c r="N22" s="460"/>
      <c r="O22" s="460"/>
      <c r="P22" s="460"/>
    </row>
    <row r="24" spans="1:16">
      <c r="A24" t="s">
        <v>1323</v>
      </c>
    </row>
    <row r="25" spans="1:16">
      <c r="A25" t="s">
        <v>1324</v>
      </c>
    </row>
    <row r="38" spans="1:16">
      <c r="A38" s="459" t="s">
        <v>1325</v>
      </c>
      <c r="B38" s="459"/>
      <c r="C38" s="459"/>
      <c r="D38" s="459"/>
      <c r="E38" s="459"/>
      <c r="F38" s="459"/>
      <c r="G38" s="459"/>
      <c r="H38" s="459"/>
      <c r="I38" s="459"/>
      <c r="J38" s="459"/>
      <c r="K38" s="459"/>
      <c r="L38" s="459"/>
      <c r="M38" s="459"/>
      <c r="N38" s="459"/>
      <c r="O38" s="459"/>
      <c r="P38" s="459"/>
    </row>
    <row r="40" spans="1:16">
      <c r="A40" s="460" t="s">
        <v>1326</v>
      </c>
      <c r="B40" s="460"/>
      <c r="C40" s="460"/>
      <c r="D40" s="460"/>
      <c r="E40" s="460"/>
      <c r="F40" s="460"/>
      <c r="G40" s="460"/>
      <c r="H40" s="460"/>
      <c r="I40" s="460"/>
      <c r="J40" s="460"/>
      <c r="K40" s="460"/>
      <c r="L40" s="460"/>
      <c r="M40" s="460"/>
      <c r="N40" s="460"/>
      <c r="O40" s="460"/>
      <c r="P40" s="460"/>
    </row>
    <row r="42" spans="1:16">
      <c r="A42" t="s">
        <v>1327</v>
      </c>
    </row>
    <row r="43" spans="1:16">
      <c r="A43" t="s">
        <v>1328</v>
      </c>
    </row>
    <row r="45" spans="1:16">
      <c r="A45" s="460" t="s">
        <v>1329</v>
      </c>
      <c r="B45" s="460"/>
      <c r="C45" s="460"/>
      <c r="D45" s="460"/>
      <c r="E45" s="460"/>
      <c r="F45" s="460"/>
      <c r="G45" s="460"/>
      <c r="H45" s="460"/>
      <c r="I45" s="460"/>
      <c r="J45" s="460"/>
      <c r="K45" s="460"/>
      <c r="L45" s="460"/>
      <c r="M45" s="460"/>
      <c r="N45" s="460"/>
      <c r="O45" s="460"/>
      <c r="P45" s="460"/>
    </row>
    <row r="47" spans="1:16">
      <c r="A47" t="s">
        <v>1330</v>
      </c>
    </row>
    <row r="48" spans="1:16">
      <c r="B48" t="s">
        <v>1331</v>
      </c>
    </row>
    <row r="49" spans="1:17">
      <c r="B49" t="s">
        <v>1332</v>
      </c>
    </row>
    <row r="50" spans="1:17">
      <c r="A50" t="s">
        <v>1333</v>
      </c>
    </row>
    <row r="51" spans="1:17">
      <c r="B51" t="s">
        <v>1331</v>
      </c>
    </row>
    <row r="52" spans="1:17">
      <c r="B52" t="s">
        <v>1334</v>
      </c>
    </row>
    <row r="53" spans="1:17">
      <c r="A53" t="s">
        <v>1335</v>
      </c>
    </row>
    <row r="55" spans="1:17">
      <c r="A55" s="460" t="s">
        <v>1336</v>
      </c>
      <c r="B55" s="460"/>
      <c r="C55" s="460"/>
      <c r="D55" s="460"/>
      <c r="E55" s="460"/>
      <c r="F55" s="460"/>
      <c r="G55" s="460"/>
      <c r="H55" s="460"/>
      <c r="I55" s="460"/>
      <c r="J55" s="460"/>
      <c r="K55" s="460"/>
      <c r="L55" s="460"/>
      <c r="M55" s="460"/>
      <c r="N55" s="460"/>
      <c r="O55" s="460"/>
      <c r="P55" s="460"/>
    </row>
    <row r="57" spans="1:17">
      <c r="A57" t="s">
        <v>1337</v>
      </c>
    </row>
    <row r="58" spans="1:17">
      <c r="A58" s="327" t="s">
        <v>1338</v>
      </c>
      <c r="B58" s="327"/>
      <c r="C58" s="327"/>
      <c r="D58" s="327"/>
      <c r="E58" s="327"/>
      <c r="F58" s="327"/>
      <c r="G58" s="327"/>
      <c r="H58" s="327"/>
      <c r="I58" s="327"/>
      <c r="J58" s="327"/>
      <c r="K58" s="327"/>
      <c r="L58" s="327"/>
      <c r="M58" s="327"/>
      <c r="N58" s="327"/>
      <c r="O58" s="327"/>
      <c r="P58" s="327"/>
      <c r="Q58" s="327"/>
    </row>
    <row r="59" spans="1:17">
      <c r="A59" t="s">
        <v>1339</v>
      </c>
    </row>
    <row r="60" spans="1:17">
      <c r="A60" t="s">
        <v>1340</v>
      </c>
    </row>
    <row r="62" spans="1:17">
      <c r="A62" t="s">
        <v>1341</v>
      </c>
    </row>
    <row r="63" spans="1:17">
      <c r="A63" s="307" t="s">
        <v>1342</v>
      </c>
    </row>
    <row r="66" spans="1:16">
      <c r="A66" s="460" t="s">
        <v>1343</v>
      </c>
      <c r="B66" s="460"/>
      <c r="C66" s="460"/>
      <c r="D66" s="460"/>
      <c r="E66" s="460"/>
      <c r="F66" s="460"/>
      <c r="G66" s="460"/>
      <c r="H66" s="460"/>
      <c r="I66" s="460"/>
      <c r="J66" s="460"/>
      <c r="K66" s="460"/>
      <c r="L66" s="460"/>
      <c r="M66" s="460"/>
      <c r="N66" s="460"/>
      <c r="O66" s="460"/>
      <c r="P66" s="460"/>
    </row>
    <row r="68" spans="1:16">
      <c r="A68" t="s">
        <v>1344</v>
      </c>
    </row>
    <row r="69" spans="1:16">
      <c r="A69" t="s">
        <v>1345</v>
      </c>
    </row>
    <row r="70" spans="1:16">
      <c r="A70" t="s">
        <v>1346</v>
      </c>
    </row>
    <row r="72" spans="1:16">
      <c r="A72" s="307" t="s">
        <v>1347</v>
      </c>
    </row>
  </sheetData>
  <mergeCells count="9">
    <mergeCell ref="A45:P45"/>
    <mergeCell ref="A55:P55"/>
    <mergeCell ref="A66:P66"/>
    <mergeCell ref="A1:P1"/>
    <mergeCell ref="A3:P3"/>
    <mergeCell ref="A8:P8"/>
    <mergeCell ref="A22:P22"/>
    <mergeCell ref="A38:P38"/>
    <mergeCell ref="A40:P40"/>
  </mergeCells>
  <hyperlinks>
    <hyperlink ref="A63" r:id="rId1" xr:uid="{00000000-0004-0000-0C00-000000000000}"/>
    <hyperlink ref="A72" r:id="rId2" xr:uid="{00000000-0004-0000-0C00-000001000000}"/>
  </hyperlinks>
  <pageMargins left="0.7" right="0.7" top="0.75" bottom="0.75" header="0.3" footer="0.3"/>
  <pageSetup paperSize="9" orientation="portrait" horizontalDpi="0" verticalDpi="0" r:id="rId3"/>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Experiment</vt:lpstr>
      <vt:lpstr>Protocol</vt:lpstr>
      <vt:lpstr>Samples</vt:lpstr>
      <vt:lpstr>Experiment DNA sample</vt:lpstr>
      <vt:lpstr>Calibration DNA sample</vt:lpstr>
      <vt:lpstr>Calibration</vt:lpstr>
      <vt:lpstr>Comparative Analysis</vt:lpstr>
      <vt:lpstr>Transfer Curve Analysis</vt:lpstr>
      <vt:lpstr>TASBE Data</vt:lpstr>
      <vt:lpstr>Optional Settings</vt:lpstr>
      <vt:lpstr>PEI transfection</vt:lpstr>
      <vt:lpstr>Growth and maintenance of 293FT</vt:lpstr>
      <vt:lpstr>Dox induction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2018-07-09T16:54:58Z</cp:lastPrinted>
  <dcterms:created xsi:type="dcterms:W3CDTF">2018-06-21T12:31:33Z</dcterms:created>
  <dcterms:modified xsi:type="dcterms:W3CDTF">2019-06-13T14:53:26Z</dcterms:modified>
</cp:coreProperties>
</file>