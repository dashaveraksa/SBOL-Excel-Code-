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3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dashaveraksa/Desktop/"/>
    </mc:Choice>
  </mc:AlternateContent>
  <xr:revisionPtr revIDLastSave="0" documentId="13_ncr:1_{2224B655-7539-C049-96B5-686F8F9BC0A7}" xr6:coauthVersionLast="43" xr6:coauthVersionMax="43" xr10:uidLastSave="{00000000-0000-0000-0000-000000000000}"/>
  <bookViews>
    <workbookView xWindow="15600" yWindow="540" windowWidth="21700" windowHeight="14340" tabRatio="904" activeTab="4" xr2:uid="{00000000-000D-0000-FFFF-FFFF00000000}"/>
  </bookViews>
  <sheets>
    <sheet name="Experiment" sheetId="6" r:id="rId1"/>
    <sheet name="Protocol" sheetId="23" r:id="rId2"/>
    <sheet name="Samples" sheetId="2" r:id="rId3"/>
    <sheet name="Plate Layout" sheetId="30" r:id="rId4"/>
    <sheet name="Experiment DNA sample" sheetId="21" r:id="rId5"/>
    <sheet name="Calibration DNA sample" sheetId="22" r:id="rId6"/>
    <sheet name="CORE protocol" sheetId="25" r:id="rId7"/>
    <sheet name="PEI transfection" sheetId="26" r:id="rId8"/>
    <sheet name="Growth and maintenance of 293FT" sheetId="24" r:id="rId9"/>
    <sheet name="Dox induction" sheetId="27" r:id="rId10"/>
  </sheet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3" i="22" l="1"/>
  <c r="D3" i="22"/>
  <c r="E3" i="22"/>
  <c r="F3" i="22"/>
  <c r="G3" i="22"/>
  <c r="B3" i="22"/>
  <c r="B48" i="2"/>
  <c r="B49" i="2"/>
  <c r="B50" i="2"/>
  <c r="B51" i="2"/>
  <c r="B52" i="2"/>
  <c r="B53" i="2"/>
  <c r="B54" i="2"/>
  <c r="B55" i="2"/>
  <c r="B56" i="2"/>
  <c r="B57" i="2"/>
  <c r="B58" i="2"/>
  <c r="B47"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5" i="2"/>
  <c r="C3" i="21" l="1"/>
  <c r="D3" i="21"/>
  <c r="E3" i="21"/>
  <c r="F3" i="21"/>
  <c r="G3" i="21"/>
  <c r="B3" i="21"/>
</calcChain>
</file>

<file path=xl/sharedStrings.xml><?xml version="1.0" encoding="utf-8"?>
<sst xmlns="http://schemas.openxmlformats.org/spreadsheetml/2006/main" count="876" uniqueCount="455">
  <si>
    <t>SAMPLE
NUMBER</t>
  </si>
  <si>
    <t>X</t>
  </si>
  <si>
    <t>SAMPLE NAME</t>
  </si>
  <si>
    <t>Plot Path</t>
  </si>
  <si>
    <t>Exlude from Batch Analysis</t>
  </si>
  <si>
    <t>Experiment Name</t>
  </si>
  <si>
    <t>Min Valid Count</t>
  </si>
  <si>
    <t>Use Auto Fluorescence</t>
  </si>
  <si>
    <t>Min Fraction Active</t>
  </si>
  <si>
    <t>Output Filename</t>
  </si>
  <si>
    <t>Variable?</t>
  </si>
  <si>
    <t>Notes</t>
  </si>
  <si>
    <t>Exp Name</t>
  </si>
  <si>
    <t>Designed by</t>
  </si>
  <si>
    <t>Performed by</t>
  </si>
  <si>
    <t>Beads</t>
  </si>
  <si>
    <t>Filename Template 1</t>
  </si>
  <si>
    <t>Filename Template 2</t>
  </si>
  <si>
    <t>Filename Template 3</t>
  </si>
  <si>
    <t>Filename Template 4</t>
  </si>
  <si>
    <t>Template #</t>
  </si>
  <si>
    <t>1_2_3.fcs</t>
  </si>
  <si>
    <t>Condition Key 1</t>
  </si>
  <si>
    <t>Sample Column Name:</t>
  </si>
  <si>
    <t>Explanation</t>
  </si>
  <si>
    <t>Short code</t>
  </si>
  <si>
    <t>Condition Key 2</t>
  </si>
  <si>
    <t>Condition Key 3</t>
  </si>
  <si>
    <t>EXPERIMENT COMPONENTS</t>
  </si>
  <si>
    <t>Preferences for Batch Analysis</t>
  </si>
  <si>
    <t>Required</t>
  </si>
  <si>
    <t>CM Filename</t>
  </si>
  <si>
    <t>Stem Name</t>
  </si>
  <si>
    <t>Min Bin</t>
  </si>
  <si>
    <t>Bins per Decade</t>
  </si>
  <si>
    <t xml:space="preserve"> Max Bin</t>
  </si>
  <si>
    <r>
      <rPr>
        <b/>
        <sz val="11"/>
        <rFont val="Calibri"/>
        <family val="2"/>
        <scheme val="minor"/>
      </rPr>
      <t>Default</t>
    </r>
    <r>
      <rPr>
        <sz val="11"/>
        <rFont val="Calibri"/>
        <family val="2"/>
        <scheme val="minor"/>
      </rPr>
      <t>: Exp Name</t>
    </r>
  </si>
  <si>
    <t>Shortened Key</t>
  </si>
  <si>
    <t>Optional</t>
  </si>
  <si>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</si>
  <si>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</si>
  <si>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</si>
  <si>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</si>
  <si>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 xml:space="preserve">Run Button Instructions </t>
  </si>
  <si>
    <r>
      <rPr>
        <b/>
        <sz val="11"/>
        <rFont val="Calibri"/>
        <family val="2"/>
        <scheme val="minor"/>
      </rPr>
      <t>Required</t>
    </r>
    <r>
      <rPr>
        <sz val="11"/>
        <rFont val="Calibri"/>
        <family val="2"/>
        <scheme val="minor"/>
      </rPr>
      <t>: Instructions to use button below</t>
    </r>
  </si>
  <si>
    <t>+</t>
  </si>
  <si>
    <t>-</t>
  </si>
  <si>
    <t xml:space="preserve">Experimental Conditions (one per column, can vary). </t>
  </si>
  <si>
    <t>Group</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</si>
  <si>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</si>
  <si>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</si>
  <si>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</si>
  <si>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</si>
  <si>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</si>
  <si>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</si>
  <si>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</si>
  <si>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</si>
  <si>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</si>
  <si>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</si>
  <si>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</si>
  <si>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</si>
  <si>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</si>
  <si>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</si>
  <si>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</si>
  <si>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</si>
  <si>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</si>
  <si>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</si>
  <si>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</si>
  <si>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</si>
  <si>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</si>
  <si>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</si>
  <si>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</si>
  <si>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</si>
  <si>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</si>
  <si>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</si>
  <si>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</si>
  <si>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</si>
  <si>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</si>
  <si>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</si>
  <si>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</si>
  <si>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</si>
  <si>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</si>
  <si>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</si>
  <si>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t>TASBE session logging enabled, release 7.1.0-alpha</t>
  </si>
  <si>
    <t>TASBE:OutputFig</t>
  </si>
  <si>
    <t>MakeDirectory</t>
  </si>
  <si>
    <r>
      <rPr>
        <b/>
        <sz val="11"/>
        <rFont val="Calibri"/>
        <family val="2"/>
        <scheme val="minor"/>
      </rPr>
      <t>Optional</t>
    </r>
    <r>
      <rPr>
        <sz val="11"/>
        <rFont val="Calibri"/>
        <family val="2"/>
        <scheme val="minor"/>
      </rPr>
      <t>: Relative to template path. Same will be used for CSV files</t>
    </r>
  </si>
  <si>
    <t>Note: This sheet contains all of the experiment overview information. Reference Excel README for more information.</t>
  </si>
  <si>
    <t>Note: This sheet lists out the samples and their corresponding conditions. It is also used for batch analysis. Replicates should share rows with commas separating distinct values (#,#,#). Reference Excel README for more information.</t>
  </si>
  <si>
    <r>
      <rPr>
        <b/>
        <sz val="11"/>
        <rFont val="Calibri"/>
        <family val="2"/>
        <scheme val="minor"/>
      </rPr>
      <t>Default</t>
    </r>
    <r>
      <rPr>
        <sz val="11"/>
        <rFont val="Calibri"/>
        <family val="2"/>
        <scheme val="minor"/>
      </rPr>
      <t xml:space="preserve">: "expname-BatchAnalysis.mat" </t>
    </r>
  </si>
  <si>
    <t>batch_analysis_excel</t>
  </si>
  <si>
    <t>Missing Output File Name for Batch Analysis in "Samples" sheet</t>
  </si>
  <si>
    <t>Missing Stem Name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</si>
  <si>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</si>
  <si>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</si>
  <si>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</si>
  <si>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</si>
  <si>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</si>
  <si>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</si>
  <si>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</si>
  <si>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Directory does not exist, attempting to create it: C:/Users/coverney/Documents/SynBio/Template/batch/plots/</t>
  </si>
  <si>
    <t>TASBE:SanitizeFilename</t>
  </si>
  <si>
    <t>UnsafeCharacters</t>
  </si>
  <si>
    <t>Name "LacI Transfer Curve-Dox 0.1-bincounts" contains unsafe characters: abbreviated to "LacITransferCurve-Dox01-bincounts"</t>
  </si>
  <si>
    <t>Name "LacI Transfer Curve-Dox 0.2-bincounts" contains unsafe characters: abbreviated to "LacITransferCurve-Dox02-bincounts"</t>
  </si>
  <si>
    <t>Name "LacI Transfer Curve-Dox 0.5-bincounts" contains unsafe characters: abbreviated to "LacITransferCurve-Dox05-bincounts"</t>
  </si>
  <si>
    <t>Name "LacI Transfer Curve-Dox 1-bincounts" contains unsafe characters: abbreviated to "LacITransferCurve-Dox1-bincounts"</t>
  </si>
  <si>
    <t>Name "LacI Transfer Curve-Dox 2-bincounts" contains unsafe characters: abbreviated to "LacITransferCurve-Dox2-bincounts"</t>
  </si>
  <si>
    <t>Name "LacI Transfer Curve-Dox 5-bincounts" contains unsafe characters: abbreviated to "LacITransferCurve-Dox5-bincounts"</t>
  </si>
  <si>
    <t>Name "LacI Transfer Curve-Dox 10-bincounts" contains unsafe characters: abbreviated to "LacITransferCurve-Dox10-bincounts"</t>
  </si>
  <si>
    <t>Name "LacI Transfer Curve-Dox 20-bincounts" contains unsafe characters: abbreviated to "LacITransferCurve-Dox20-bincounts"</t>
  </si>
  <si>
    <t>Name "LacI Transfer Curve-Dox 50-bincounts" contains unsafe characters: abbreviated to "LacITransferCurve-Dox50-bincounts"</t>
  </si>
  <si>
    <t>Name "LacI Transfer Curve-Dox 100-bincounts" contains unsafe characters: abbreviated to "LacITransferCurve-Dox100-bincounts"</t>
  </si>
  <si>
    <t>Name "LacI Transfer Curve-Dox 200-bincounts" contains unsafe characters: abbreviated to "LacITransferCurve-Dox200-bincounts"</t>
  </si>
  <si>
    <t>Name "LacI Transfer Curve-Dox 500-bincounts" contains unsafe characters: abbreviated to "LacITransferCurve-Dox500-bincounts"</t>
  </si>
  <si>
    <t>Name "LacI Transfer Curve-Dox 1000-bincounts" contains unsafe characters: abbreviated to "LacITransferCurve-Dox1000-bincounts"</t>
  </si>
  <si>
    <t>Name "LacI Transfer Curve-Dox 2000-bincounts" contains unsafe characters: abbreviated to "LacITransferCurve-Dox2000-bincounts"</t>
  </si>
  <si>
    <t>Name "LacI Transfer Curve" contains unsafe characters: abbreviated to "LacITransferCurve"</t>
  </si>
  <si>
    <t>20-07-2018 14:40:05</t>
  </si>
  <si>
    <t>Missing CM Filename in "Samples" sheet. Looking in "Calibration" sheet.</t>
  </si>
  <si>
    <t>Missing Output Filename in "Calibration" sheet. Defaulting to exp name.</t>
  </si>
  <si>
    <t>Missing CM Filepath in "Samples" sheet. Looking in "Calibration" sheet.</t>
  </si>
  <si>
    <t>JHT6</t>
  </si>
  <si>
    <t>Justin Letendre, Ben Weinberg, Katherine Kiwimagi, Jake Beal</t>
  </si>
  <si>
    <t>Justin Letendre</t>
  </si>
  <si>
    <t>Cell Plating</t>
  </si>
  <si>
    <t></t>
  </si>
  <si>
    <t>Transfection</t>
  </si>
  <si>
    <t>Induction</t>
  </si>
  <si>
    <t>Cytometry 1</t>
  </si>
  <si>
    <t>Cytometry 2</t>
  </si>
  <si>
    <t>Cytometry 3</t>
  </si>
  <si>
    <t>Cytometry 4</t>
  </si>
  <si>
    <t>Date:</t>
  </si>
  <si>
    <t>Time:</t>
  </si>
  <si>
    <t>11:00am</t>
  </si>
  <si>
    <t>Density:</t>
  </si>
  <si>
    <t>200k/ml</t>
  </si>
  <si>
    <t>Plate Type:</t>
  </si>
  <si>
    <t>48w</t>
  </si>
  <si>
    <t>96w</t>
  </si>
  <si>
    <t>Machine:</t>
  </si>
  <si>
    <t>Attune Nxt</t>
  </si>
  <si>
    <t>Dox</t>
  </si>
  <si>
    <t>JHT6(N)</t>
  </si>
  <si>
    <t>Plate1</t>
  </si>
  <si>
    <t>Plate No.</t>
  </si>
  <si>
    <t>Group(N)</t>
  </si>
  <si>
    <t>Group No.</t>
  </si>
  <si>
    <t>Sample Location(s)</t>
  </si>
  <si>
    <t>Location, From Samples</t>
  </si>
  <si>
    <t>5 ng Blank, 50 ng Blank</t>
  </si>
  <si>
    <t>35 ng Blank, 20 ng LC41</t>
  </si>
  <si>
    <t>45 ng Blank, 10 ng LC41</t>
  </si>
  <si>
    <t>5 ng Blank, 50 ng LC20</t>
  </si>
  <si>
    <t>15 ng Blank, 40 ng LC20</t>
  </si>
  <si>
    <t>45 ng FlpO, 10 ng LC41</t>
  </si>
  <si>
    <t>Hours</t>
  </si>
  <si>
    <t>A1,A2,A3</t>
  </si>
  <si>
    <t>B1,B2,B3</t>
  </si>
  <si>
    <t>C1,C2,C3</t>
  </si>
  <si>
    <t>D1,D2,D3</t>
  </si>
  <si>
    <t>E1,E2,E3</t>
  </si>
  <si>
    <t>F1,F2,F3</t>
  </si>
  <si>
    <t>G1,G2,G3</t>
  </si>
  <si>
    <t>H1,H2,H3</t>
  </si>
  <si>
    <t>Group(1)</t>
  </si>
  <si>
    <t>A4,A5,A6</t>
  </si>
  <si>
    <t>B4,B5,B6</t>
  </si>
  <si>
    <t>Group(2)</t>
  </si>
  <si>
    <t>A7,A8,A9</t>
  </si>
  <si>
    <t>JHT6(1)</t>
  </si>
  <si>
    <t>JHT6(2)</t>
  </si>
  <si>
    <t>Blank</t>
  </si>
  <si>
    <t>C4,C5,C6</t>
  </si>
  <si>
    <t>D4,D5,D6</t>
  </si>
  <si>
    <t>E4,E5,E6</t>
  </si>
  <si>
    <t>F4,F5,F6</t>
  </si>
  <si>
    <t>G4,G5,G6</t>
  </si>
  <si>
    <t>H4</t>
  </si>
  <si>
    <t>JHT6(3)</t>
  </si>
  <si>
    <t>\Batch_Excel\plots\</t>
  </si>
  <si>
    <t>CM-JHT6.mat</t>
  </si>
  <si>
    <t>\colormodel\</t>
  </si>
  <si>
    <t>1_2_3_4.fcs</t>
  </si>
  <si>
    <t>C:\\Users\\Justin Letendre\\Google Drive (jletendr@bu.edu)\\LCP Projects\\ModuleIntegrationGroup\\20180606 JustinLetendre JHT6 No Flp Time Course Repeat\\FCS\\All\\</t>
  </si>
  <si>
    <t>B7,B8,B9</t>
  </si>
  <si>
    <t>Plasmid Number</t>
  </si>
  <si>
    <t>Plasmid Number</t>
    <phoneticPr fontId="26" type="noConversion"/>
  </si>
  <si>
    <t>1:DNA X</t>
    <phoneticPr fontId="26" type="noConversion"/>
  </si>
  <si>
    <t>pBW363</t>
    <phoneticPr fontId="26" type="noConversion"/>
  </si>
  <si>
    <t xml:space="preserve">BLANK (Cag-FALSE pKK203) </t>
    <phoneticPr fontId="26" type="noConversion"/>
  </si>
  <si>
    <t>BLANK (Cag-FALSE pKK203)</t>
    <phoneticPr fontId="26" type="noConversion"/>
  </si>
  <si>
    <t>Sum</t>
  </si>
  <si>
    <r>
      <rPr>
        <b/>
        <sz val="12"/>
        <color rgb="FF00B050"/>
        <rFont val="Arial"/>
        <family val="2"/>
      </rPr>
      <t>GFP</t>
    </r>
    <r>
      <rPr>
        <sz val="12"/>
        <color theme="1"/>
        <rFont val="Arial"/>
        <family val="2"/>
      </rPr>
      <t>(Cag-True-GFP pKK202)</t>
    </r>
    <phoneticPr fontId="26" type="noConversion"/>
  </si>
  <si>
    <r>
      <rPr>
        <b/>
        <sz val="12"/>
        <color rgb="FF0070C0"/>
        <rFont val="Arial"/>
        <family val="2"/>
      </rPr>
      <t>BFP</t>
    </r>
    <r>
      <rPr>
        <sz val="12"/>
        <color theme="1"/>
        <rFont val="Arial"/>
        <family val="2"/>
      </rPr>
      <t xml:space="preserve"> (Cag-BFP pKK204)</t>
    </r>
    <phoneticPr fontId="26" type="noConversion"/>
  </si>
  <si>
    <t>pBW361</t>
    <phoneticPr fontId="26" type="noConversion"/>
  </si>
  <si>
    <t>pBW462</t>
    <phoneticPr fontId="26" type="noConversion"/>
  </si>
  <si>
    <t>pBW465</t>
    <phoneticPr fontId="26" type="noConversion"/>
  </si>
  <si>
    <r>
      <rPr>
        <b/>
        <sz val="12"/>
        <color rgb="FFFF0000"/>
        <rFont val="Arial"/>
        <family val="2"/>
      </rPr>
      <t>mRuby</t>
    </r>
    <r>
      <rPr>
        <sz val="12"/>
        <color theme="1"/>
        <rFont val="Arial"/>
        <family val="2"/>
      </rPr>
      <t xml:space="preserve"> (Cag-mRuby pKK205)</t>
    </r>
    <phoneticPr fontId="26" type="noConversion"/>
  </si>
  <si>
    <t>Code</t>
    <phoneticPr fontId="26" type="noConversion"/>
  </si>
  <si>
    <t>2:DNA A</t>
    <phoneticPr fontId="26" type="noConversion"/>
  </si>
  <si>
    <t>ng</t>
    <phoneticPr fontId="26" type="noConversion"/>
  </si>
  <si>
    <t>collection:</t>
    <phoneticPr fontId="26" type="noConversion"/>
  </si>
  <si>
    <t>comerecombinase</t>
  </si>
  <si>
    <t>Unit:</t>
    <phoneticPr fontId="26" type="noConversion"/>
  </si>
  <si>
    <t>Sum</t>
    <phoneticPr fontId="26" type="noConversion"/>
  </si>
  <si>
    <t>multi</t>
    <phoneticPr fontId="26" type="noConversion"/>
  </si>
  <si>
    <t>3:DNA B</t>
    <phoneticPr fontId="26" type="noConversion"/>
  </si>
  <si>
    <t>4:DNA C</t>
    <phoneticPr fontId="26" type="noConversion"/>
  </si>
  <si>
    <t>5:DNA D</t>
    <phoneticPr fontId="26" type="noConversion"/>
  </si>
  <si>
    <t>6:DNA E</t>
    <phoneticPr fontId="26" type="noConversion"/>
  </si>
  <si>
    <t>Blank</t>
    <phoneticPr fontId="26" type="noConversion"/>
  </si>
  <si>
    <t>Beads</t>
    <phoneticPr fontId="26" type="noConversion"/>
  </si>
  <si>
    <t>green</t>
    <phoneticPr fontId="26" type="noConversion"/>
  </si>
  <si>
    <t>blue</t>
    <phoneticPr fontId="26" type="noConversion"/>
  </si>
  <si>
    <t>red</t>
    <phoneticPr fontId="26" type="noConversion"/>
  </si>
  <si>
    <t>ng/mL</t>
    <phoneticPr fontId="26" type="noConversion"/>
  </si>
  <si>
    <t>Unit</t>
    <phoneticPr fontId="26" type="noConversion"/>
  </si>
  <si>
    <t>h</t>
    <phoneticPr fontId="26" type="noConversion"/>
  </si>
  <si>
    <t>green</t>
    <phoneticPr fontId="26" type="noConversion"/>
  </si>
  <si>
    <t>red</t>
    <phoneticPr fontId="26" type="noConversion"/>
  </si>
  <si>
    <t>blue</t>
    <phoneticPr fontId="26" type="noConversion"/>
  </si>
  <si>
    <t>Code</t>
    <phoneticPr fontId="26" type="noConversion"/>
  </si>
  <si>
    <t>6:DNA E</t>
    <phoneticPr fontId="26" type="noConversion"/>
  </si>
  <si>
    <t>Beads</t>
    <phoneticPr fontId="26" type="noConversion"/>
  </si>
  <si>
    <t>Blank</t>
    <phoneticPr fontId="26" type="noConversion"/>
  </si>
  <si>
    <t>URL</t>
    <phoneticPr fontId="26" type="noConversion"/>
  </si>
  <si>
    <t>https://synbiohub.org/user/chenmzh/JHT6demochenmzh/pBW361/1</t>
    <phoneticPr fontId="26" type="noConversion"/>
  </si>
  <si>
    <t>https://synbiohub.org/user/chenmzh/JHT6demochenmzh/pBW586/1</t>
    <phoneticPr fontId="26" type="noConversion"/>
  </si>
  <si>
    <t>https://synbiohub.org/user/chenmzh/JHT6demochenmzh/pBW2909/1</t>
    <phoneticPr fontId="26" type="noConversion"/>
  </si>
  <si>
    <t>https://synbiohub.org/user/chenmzh/JHT6demochenmzh/pBW462/1</t>
    <phoneticPr fontId="26" type="noConversion"/>
  </si>
  <si>
    <t>https://synbiohub.org/user/chenmzh/JHT6demochenmzh/pBW363/1</t>
    <phoneticPr fontId="26" type="noConversion"/>
  </si>
  <si>
    <t>https://synbiohub.org/user/chenmzh/JHT6demochenmzh/pLC20/1</t>
    <phoneticPr fontId="26" type="noConversion"/>
  </si>
  <si>
    <t>https://synbiohub.org/user/chenmzh/JHT6demochenmzh/pLC41/1</t>
    <phoneticPr fontId="26" type="noConversion"/>
  </si>
  <si>
    <t>https://synbiohub.org/user/chenmzh/JHT6demochenmzh/pBW2139/1</t>
    <phoneticPr fontId="26" type="noConversion"/>
  </si>
  <si>
    <t>https://synbiohub.org/user/chenmzh/JHT6demochenmzh/pBW465/1</t>
    <phoneticPr fontId="26" type="noConversion"/>
  </si>
  <si>
    <t>https://synbiohub.org/user/chenmzh/JHT6demochenmzh/pBW339/1</t>
    <phoneticPr fontId="26" type="noConversion"/>
  </si>
  <si>
    <t>Plasmid Description</t>
    <phoneticPr fontId="26" type="noConversion"/>
  </si>
  <si>
    <t>Experiment Description</t>
    <phoneticPr fontId="26" type="noConversion"/>
  </si>
  <si>
    <t>Goal: Repeat of plus/minus experiments with no Flp present to determine basal expression (leakiness) of reporter. Experimental conditions the same as in HT143, substituting a blank plasmid (BW363) for the TRE-Flp-shFF4 plasmid (BW2909). 
Cell Type: HEK29FT?</t>
    <phoneticPr fontId="26" type="noConversion"/>
  </si>
  <si>
    <t>Thaw cells</t>
    <phoneticPr fontId="26" type="noConversion"/>
  </si>
  <si>
    <t>Making medium</t>
    <phoneticPr fontId="26" type="noConversion"/>
  </si>
  <si>
    <t>Variable</t>
    <phoneticPr fontId="26" type="noConversion"/>
  </si>
  <si>
    <t>General guidelines</t>
    <phoneticPr fontId="26" type="noConversion"/>
  </si>
  <si>
    <t>Growth and Maintenance of the 293FT Cell Line</t>
    <phoneticPr fontId="26" type="noConversion"/>
  </si>
  <si>
    <t>All solutions and equipment come in contact with the cells are sterile</t>
    <phoneticPr fontId="26" type="noConversion"/>
  </si>
  <si>
    <t>proper sterile technique and work in a laminar flow hood</t>
    <phoneticPr fontId="26" type="noConversion"/>
  </si>
  <si>
    <t xml:space="preserve">Make sure have cells established and still have frozen stocks on hand </t>
    <phoneticPr fontId="26" type="noConversion"/>
  </si>
  <si>
    <t>recommend early-passage cells</t>
    <phoneticPr fontId="26" type="noConversion"/>
  </si>
  <si>
    <t>For general maintenance, pass 293FT cells when &gt;80% confluent, avoid overgrowth</t>
    <phoneticPr fontId="26" type="noConversion"/>
  </si>
  <si>
    <t xml:space="preserve">trypan blue for viability. </t>
    <phoneticPr fontId="26" type="noConversion"/>
  </si>
  <si>
    <t>Log phage should be &gt;90% viability</t>
    <phoneticPr fontId="26" type="noConversion"/>
  </si>
  <si>
    <t>when thawing or subculturing cell, make sure medium warmed to room temperature</t>
    <phoneticPr fontId="26" type="noConversion"/>
  </si>
  <si>
    <t>prior to transfection, cells should be at the appropriate confluence and at greater than 90% viability</t>
    <phoneticPr fontId="26" type="noConversion"/>
  </si>
  <si>
    <t>Maintain 293FT cells in complete medium containing 500 μg/ml Gibco™ Geneticin™.</t>
  </si>
  <si>
    <t>Before starting</t>
    <phoneticPr fontId="26" type="noConversion"/>
  </si>
  <si>
    <t>15 ml sterile, conical tubes</t>
  </si>
  <si>
    <t>Appropriate sized tissue culture flasks and pipettes</t>
  </si>
  <si>
    <t>Complete medium</t>
  </si>
  <si>
    <t>50 mg/ml Gibco™ Geneticin™</t>
  </si>
  <si>
    <t>Reagents for counting cells</t>
  </si>
  <si>
    <t>Trypsin/versene (EDTA) solution or other trypsin solution</t>
  </si>
  <si>
    <t>Freezing Medium</t>
  </si>
  <si>
    <t>Table-top centrifuge Cryovials (if needed)</t>
  </si>
  <si>
    <t>Phosphate-Buffered Saline (PBS; Catalog No. 10010-023)</t>
  </si>
  <si>
    <t>Media for 293FT Cells</t>
  </si>
  <si>
    <t>Complete Medium</t>
  </si>
  <si>
    <t>[Antibiotic]</t>
  </si>
  <si>
    <t>D-MEM (high glucose)</t>
  </si>
  <si>
    <t>500 μg/ml Gibco™ Geneticin™</t>
  </si>
  <si>
    <t>90% complete medium</t>
  </si>
  <si>
    <t>10% fetal bovine serum (FBS)</t>
  </si>
  <si>
    <t>10% DMSO</t>
  </si>
  <si>
    <t>0.1 mM MEM Non-Essential Amino Acids (NEAA)</t>
  </si>
  <si>
    <t>6 mM L-glutamine</t>
  </si>
  <si>
    <t>1 mM MEM Sodium Pyruvate</t>
  </si>
  <si>
    <t>1% Pen-Strep (optional)</t>
  </si>
  <si>
    <t>Preparing Medium </t>
  </si>
  <si>
    <t>1. Remove 100 ml D-MEM from 1 L D-MEM bottle and replace with 100 ml FBS.</t>
  </si>
  <si>
    <t>2. To the bottle of medium, add the following:</t>
  </si>
  <si>
    <t>200 mM L-Glutamine (100X) 10 ml</t>
  </si>
  <si>
    <t>10 mM MEM Non-Essential Amino Acids (100X) 10 ml</t>
  </si>
  <si>
    <t>100 mM MEM Sodium Pyruvate (100X) 10 ml</t>
  </si>
  <si>
    <t>Optional: Penicillin-Streptomycin (100X) 10 ml</t>
  </si>
  <si>
    <t>3. Filter sterilize the medium using 0.45 μm filtration device.</t>
  </si>
  <si>
    <t>4. Store the complete medium at 4°C until use. The medium is stable for 6 months at 4°C (avoid introducing any contamination into the medium).</t>
  </si>
  <si>
    <t>5. To an aliquot of the complete medium, add Geneticin to prepare complete medium with 500 μg/ml Geneticin</t>
  </si>
  <si>
    <t>Thawing Cells</t>
  </si>
  <si>
    <t>The 293FT Cell Line is supplied in a vial containing 3 x 106 cells in 1 ml of Freezing Medium. Store frozen 293FT cells in liquid nitrogen until ready to use.</t>
  </si>
  <si>
    <t>Note: BL2 level</t>
    <phoneticPr fontId="26" type="noConversion"/>
  </si>
  <si>
    <t>DMSO</t>
    <phoneticPr fontId="26" type="noConversion"/>
  </si>
  <si>
    <r>
      <t xml:space="preserve">Thaw cells in prewarmed, complete medium </t>
    </r>
    <r>
      <rPr>
        <b/>
        <sz val="12"/>
        <color theme="1"/>
        <rFont val="Calibri"/>
        <family val="2"/>
        <scheme val="minor"/>
      </rPr>
      <t>without</t>
    </r>
    <r>
      <rPr>
        <sz val="12"/>
        <color theme="1"/>
        <rFont val="Calibri"/>
        <family val="2"/>
        <scheme val="minor"/>
      </rPr>
      <t xml:space="preserve"> Geneticin following the next steps</t>
    </r>
    <phoneticPr fontId="26" type="noConversion"/>
  </si>
  <si>
    <t>1. Remove the vial of frozen cells from liquid nitrogen and thaw quickly in a 37°C water bath.</t>
  </si>
  <si>
    <t>4. Incubate the flask overnight at 37°C for allowing the cells to attach to the bottom of the flask.</t>
  </si>
  <si>
    <t>5. The next day, aspirate off the medium and replace with fresh, complete medium containing 500 μg/ml Geneticin.</t>
  </si>
  <si>
    <t>6. Incubate the cells and check them daily until the cells are 80-90% confluent.</t>
  </si>
  <si>
    <t>7. Proceed to Subculturing Cells    </t>
  </si>
  <si>
    <t>We recommend subculturing cells for a minimum of 3 passages after thawing before use in other applications.</t>
  </si>
  <si>
    <t xml:space="preserve">2. Just before the cells are completely thawed, decontaminate the outside of the vial with 70% ethanol, and transfer the cells to a sterile 15 ml tube containing PBS. </t>
    <phoneticPr fontId="26" type="noConversion"/>
  </si>
  <si>
    <t>Briefly centrifuge the cells at 150-200 x g and resuspend the cells in 2 ml complete medium without Geneticin.</t>
  </si>
  <si>
    <t>3. Transfer the cells to T-75 cm2 flask containing 10 ml of complete medium without Geneticin.</t>
    <phoneticPr fontId="26" type="noConversion"/>
  </si>
  <si>
    <t>Subculturing Cells</t>
  </si>
  <si>
    <t>subculture 293FT cells and maintain cell line in complete medium containing 500 μg/ml Geneticin</t>
    <phoneticPr fontId="26" type="noConversion"/>
  </si>
  <si>
    <t>Parameter</t>
  </si>
  <si>
    <t>Recommended Condition</t>
  </si>
  <si>
    <t>Cell density</t>
  </si>
  <si>
    <t>T-75 cm2 to T-162 cm2 disposable sterile</t>
  </si>
  <si>
    <t>T-flasks. Dilute cells in a total working</t>
  </si>
  <si>
    <t>volume of 15-20 ml for T-75 cm2 flasks and</t>
  </si>
  <si>
    <t>40-50 ml for T-162 cm2 flasks</t>
  </si>
  <si>
    <t>Seeding density</t>
  </si>
  <si>
    <t>Incubation conditions</t>
  </si>
  <si>
    <t>37°C incubator with a humidified</t>
  </si>
  <si>
    <t>to allow for oxygenation/aeration</t>
  </si>
  <si>
    <t>2 to 5 x 104 viable cells/cm2</t>
  </si>
  <si>
    <t>atmosphere of 5-10% CO2 in air; loosen caps</t>
  </si>
  <si>
    <t>Determining Viability and Cell Density </t>
  </si>
  <si>
    <t>1. Transfer a small aliquot of the cell suspension to a microcentrifuge tube and dilute the cells such that the total number of cells counted will not be less than 100 or more than 1,000.</t>
  </si>
  <si>
    <t>2. To 1 ml of the diluted cell suspension, add 100 μl Trypan Blue Stain (0.4%) solution. Gently aspirate to mix.</t>
  </si>
  <si>
    <t>3. Record the dilution factor. The dilution factor equals the total volume (amount of cell suspension and amount of trypan blue) divided by the amount of cell suspension.</t>
  </si>
  <si>
    <t>4. Incubate the cells with the trypan blue solution for 1-2 minutes.</t>
  </si>
  <si>
    <t>5. Count all cells (including the blue cells) using a Coulter Counter or manually using a hemocytometer chamber.</t>
  </si>
  <si>
    <t>6. To calculate the total cells per ml in suspension, multiply the total count by the dilution factor.</t>
  </si>
  <si>
    <t>7. To determine the viability, count only the blue cells. Calculate the % viability: [1.00 - (Number of blue cells ÷ Number of total cells)] x 100</t>
  </si>
  <si>
    <t>Subculturing Cells </t>
  </si>
  <si>
    <t>1. Remove all medium from the flask and wash the cells once with 10 ml PBS to remove excess medium and serum. Serum contains inhibitors of trypsin.</t>
  </si>
  <si>
    <t>2. Add 2 ml of trypsin/versene (EDTA) solution to the monolayer and incubate 1-5 minutes at room temperature until cells detach. Check the cells under a microscope and confirm that most of the cells have detached. If cells are still attached, incubate a little longer until most of the cells have detached.</t>
  </si>
  <si>
    <t>3. Add 8 ml complete medium containing Geneticin and transfer the cell suspension to a 15 ml sterile, conical tube.</t>
  </si>
  <si>
    <t>4. Determine viable and total cell counts (see procedure above).</t>
  </si>
  <si>
    <t>5. Seed cells at the recommended density (see table above), diluting in pre-warmed complete medium containing 500 μg/ml Geneticin. Incubate flasks as recommended (see table above).</t>
  </si>
  <si>
    <t>6. Maintain cells as adherent monolayer cultures in complete medium containing 500 μg/ml Geneticin.</t>
  </si>
  <si>
    <t>7. For the transfection protocol, you will need 6 x 106 293FT cells for each sample</t>
  </si>
  <si>
    <t>Blue==death</t>
    <phoneticPr fontId="26" type="noConversion"/>
  </si>
  <si>
    <t>Cell membrand permeativity</t>
    <phoneticPr fontId="26" type="noConversion"/>
  </si>
  <si>
    <r>
      <t xml:space="preserve">8. Cell viability should be at least 95% for healthy </t>
    </r>
    <r>
      <rPr>
        <b/>
        <sz val="12"/>
        <color theme="1"/>
        <rFont val="Calibri"/>
        <family val="2"/>
        <scheme val="minor"/>
      </rPr>
      <t>log-phase</t>
    </r>
    <r>
      <rPr>
        <sz val="12"/>
        <color theme="1"/>
        <rFont val="Calibri"/>
        <family val="2"/>
        <scheme val="minor"/>
      </rPr>
      <t xml:space="preserve"> cultures.</t>
    </r>
    <phoneticPr fontId="26" type="noConversion"/>
  </si>
  <si>
    <t>Freezing Cells</t>
  </si>
  <si>
    <t>Note</t>
    <phoneticPr fontId="26" type="noConversion"/>
  </si>
  <si>
    <t>Freeze cells at a density of at least 3 x 106 viable cells/ml.</t>
  </si>
  <si>
    <t>Freezing Cells </t>
    <phoneticPr fontId="26" type="noConversion"/>
  </si>
  <si>
    <t>Keep cell on ice</t>
    <phoneticPr fontId="26" type="noConversion"/>
  </si>
  <si>
    <t>1. Culture the desired quantity of 293FT cells to 70-90% confluency.</t>
  </si>
  <si>
    <t>2. Remove the cells from the tissue culture flask(s) following Steps 1-3, Subculturing Cells.</t>
  </si>
  <si>
    <t>4. Prepare the required volume of freezing medium (see above).</t>
  </si>
  <si>
    <t>5. Centrifuge the cells suspension (from Step 2) at 250 x g for 5 minutes in a table top centrifuge at room temperature. Carefully aspirate off the medium and resuspend the cell pellet in the pre-determined volume of chilled freezing medium.</t>
  </si>
  <si>
    <t>6. Dispense aliquots of this suspension (frequently mixing to maintain a homogeneous cell suspension) into cryovials according to manufacturer’s specifications.</t>
  </si>
  <si>
    <t>7. Freeze cells in an automated, controlled-rate freezing apparatus or using a manual method following standard procedures. For ideal cryopreservation, the freezing rate should be a decrease of 1°C per minute.</t>
  </si>
  <si>
    <t>8. Transfer vials to liquid nitrogen storage.</t>
  </si>
  <si>
    <t>3. Determine viable and total cell counts and calculate the volume of freezing medium required to yield a final cell density of ≥ 3 x 106 cells/ml.</t>
  </si>
  <si>
    <t>You may check the viability and recovery of frozen cells 24 hours after storing cryovials in liquid nitrogen by following the procedure outlined in Thawing Cells.</t>
    <phoneticPr fontId="26" type="noConversion"/>
  </si>
  <si>
    <t>Freezing medium composed of 90% complete medium and 10% DMSO. Prepare freezing medium immediately before use. Filter-sterilize the freezing medium and store at +4°C until use. Discard any remaining freezing medium after use.</t>
    <phoneticPr fontId="26" type="noConversion"/>
  </si>
  <si>
    <t>Transfecting Cells</t>
    <phoneticPr fontId="26" type="noConversion"/>
  </si>
  <si>
    <t>Transfection methods</t>
    <phoneticPr fontId="26" type="noConversion"/>
  </si>
  <si>
    <t>Invitrogen™ Lipofectamine™ 2000 is recommended, but other transfection reagents are suitable</t>
  </si>
  <si>
    <t xml:space="preserve">The 293FT Cell Line is generally amenable to transfection using standard methods including calcium phosphate precipitation (Chen &amp; Okayama, 1987; Wigler et al., 1977), </t>
    <phoneticPr fontId="26" type="noConversion"/>
  </si>
  <si>
    <t xml:space="preserve">lipid-mediated transfection (Felgner et al., 1989; Felgner &amp; Ringold, 1989), and electroporation (Chu et al., 1987; Shigekawa &amp; Dower, 1988). We typically use cationic lipid-based transfection reagents to transfect 293FT cells. </t>
  </si>
  <si>
    <t>Transient Transfection </t>
    <phoneticPr fontId="26" type="noConversion"/>
  </si>
  <si>
    <t>Make sure that cells are healthy at the time of plating. Overgrowth of cells prior to passaging can compromise their transfection efficiency.</t>
  </si>
  <si>
    <t>Transfect your plasmid construct into the 293FT Cell Line using the method of choice (see above).</t>
  </si>
  <si>
    <t>After transfection, add fresh growth medium containing 500 μg/ml Geneticin® and allow the cells to recover for 24-48 hours before proceeding to assay for expression of your gene of interest.</t>
  </si>
  <si>
    <t>On the day before transfection, plate cells such that they will be at the appropriate confluence at the time of transfection (see manufacturer’s recommendations for the transfection reagent you are using).</t>
    <phoneticPr fontId="26" type="noConversion"/>
  </si>
  <si>
    <t>Example: If you are using Lipofectamine 2000 as a transfection reagent, plate cells such that they will be 90-95% confluent at the time of transfection.</t>
    <phoneticPr fontId="26" type="noConversion"/>
  </si>
  <si>
    <t>Generating Stable Cell Lines </t>
    <phoneticPr fontId="26" type="noConversion"/>
  </si>
  <si>
    <t>Since 293FT cells stably express the SV40 large T antigen, we do not recommend generating stable cell lines with plasmids that contain the SV40 origin of replication.</t>
  </si>
  <si>
    <t xml:space="preserve">293FT cells can be used as hosts to generate a stable cell line expressing your gene of interest from most plasmids. </t>
    <phoneticPr fontId="26" type="noConversion"/>
  </si>
  <si>
    <t>Remember that the introduced plasmid must contain a selection marker other than neomycin resistance. Stable cell lines can then be generated by transfection and dual selection with Geneticin® and the appropriate selection agent.</t>
  </si>
  <si>
    <t>Materials</t>
  </si>
  <si>
    <t>0.15 M NaCl, Autoclaved</t>
  </si>
  <si>
    <r>
      <t>0.323 ng/L Linear PEI dissolved in Autoclaved diH</t>
    </r>
    <r>
      <rPr>
        <vertAlign val="subscript"/>
        <sz val="12"/>
        <color theme="1"/>
        <rFont val="Arial"/>
        <family val="2"/>
      </rPr>
      <t>2</t>
    </r>
    <r>
      <rPr>
        <sz val="12"/>
        <color theme="1"/>
        <rFont val="Arial"/>
        <family val="2"/>
      </rPr>
      <t>O</t>
    </r>
  </si>
  <si>
    <t>DNA (@50 ng/μL)</t>
  </si>
  <si>
    <t>Microcentrifuge tubes</t>
  </si>
  <si>
    <t>Pipettes/tips</t>
  </si>
  <si>
    <t>Protocol</t>
  </si>
  <si>
    <r>
      <t>1.</t>
    </r>
    <r>
      <rPr>
        <sz val="7"/>
        <color theme="1"/>
        <rFont val="Times New Roman"/>
        <family val="1"/>
      </rPr>
      <t xml:space="preserve">     </t>
    </r>
    <r>
      <rPr>
        <sz val="12"/>
        <color theme="1"/>
        <rFont val="Arial"/>
        <family val="2"/>
      </rPr>
      <t xml:space="preserve">Make mixture of all DNA plasmids to be used (for 250 ng x 4 replicates, comes out to </t>
    </r>
    <r>
      <rPr>
        <b/>
        <sz val="12"/>
        <color theme="1"/>
        <rFont val="Arial"/>
        <family val="2"/>
      </rPr>
      <t>20 μL total DNA</t>
    </r>
    <r>
      <rPr>
        <sz val="12"/>
        <color theme="1"/>
        <rFont val="Arial"/>
        <family val="2"/>
      </rPr>
      <t>)</t>
    </r>
  </si>
  <si>
    <r>
      <t>2.</t>
    </r>
    <r>
      <rPr>
        <sz val="7"/>
        <color theme="1"/>
        <rFont val="Times New Roman"/>
        <family val="1"/>
      </rPr>
      <t xml:space="preserve">     </t>
    </r>
    <r>
      <rPr>
        <sz val="12"/>
        <color theme="1"/>
        <rFont val="Arial"/>
        <family val="2"/>
      </rPr>
      <t>To DNA mixture,</t>
    </r>
    <r>
      <rPr>
        <b/>
        <sz val="12"/>
        <color theme="1"/>
        <rFont val="Arial"/>
        <family val="2"/>
      </rPr>
      <t xml:space="preserve"> add 30 μL 0.15 M NaCl solution</t>
    </r>
  </si>
  <si>
    <r>
      <t>3.</t>
    </r>
    <r>
      <rPr>
        <sz val="7"/>
        <color theme="1"/>
        <rFont val="Times New Roman"/>
        <family val="1"/>
      </rPr>
      <t xml:space="preserve">     </t>
    </r>
    <r>
      <rPr>
        <sz val="12"/>
        <color theme="1"/>
        <rFont val="Arial"/>
        <family val="2"/>
      </rPr>
      <t xml:space="preserve">In a </t>
    </r>
    <r>
      <rPr>
        <b/>
        <sz val="12"/>
        <color theme="1"/>
        <rFont val="Arial"/>
        <family val="2"/>
      </rPr>
      <t>separate tube</t>
    </r>
    <r>
      <rPr>
        <sz val="12"/>
        <color theme="1"/>
        <rFont val="Arial"/>
        <family val="2"/>
      </rPr>
      <t xml:space="preserve">, dilute </t>
    </r>
    <r>
      <rPr>
        <b/>
        <sz val="12"/>
        <color theme="1"/>
        <rFont val="Arial"/>
        <family val="2"/>
      </rPr>
      <t>8 μL stock PEI</t>
    </r>
    <r>
      <rPr>
        <sz val="12"/>
        <color theme="1"/>
        <rFont val="Arial"/>
        <family val="2"/>
      </rPr>
      <t xml:space="preserve"> (0.323 ng/L) with </t>
    </r>
    <r>
      <rPr>
        <b/>
        <sz val="12"/>
        <color theme="1"/>
        <rFont val="Arial"/>
        <family val="2"/>
      </rPr>
      <t>42 μL 0.15 M NaCl solution</t>
    </r>
  </si>
  <si>
    <r>
      <t>4.</t>
    </r>
    <r>
      <rPr>
        <sz val="7"/>
        <color theme="1"/>
        <rFont val="Times New Roman"/>
        <family val="1"/>
      </rPr>
      <t xml:space="preserve">     </t>
    </r>
    <r>
      <rPr>
        <sz val="12"/>
        <color theme="1"/>
        <rFont val="Arial"/>
        <family val="2"/>
      </rPr>
      <t>Vortex and spin down both tubes</t>
    </r>
  </si>
  <si>
    <r>
      <t>5.</t>
    </r>
    <r>
      <rPr>
        <sz val="7"/>
        <color theme="1"/>
        <rFont val="Times New Roman"/>
        <family val="1"/>
      </rPr>
      <t xml:space="preserve">     </t>
    </r>
    <r>
      <rPr>
        <sz val="12"/>
        <color theme="1"/>
        <rFont val="Arial"/>
        <family val="2"/>
      </rPr>
      <t>Combine PEI and DNA tube contents (total 100 μL), vortex and spin down</t>
    </r>
  </si>
  <si>
    <r>
      <t>6.</t>
    </r>
    <r>
      <rPr>
        <sz val="7"/>
        <color theme="1"/>
        <rFont val="Times New Roman"/>
        <family val="1"/>
      </rPr>
      <t xml:space="preserve">     </t>
    </r>
    <r>
      <rPr>
        <sz val="12"/>
        <color theme="1"/>
        <rFont val="Arial"/>
        <family val="2"/>
      </rPr>
      <t>Let PEI/DNA mixture sit for 10 min to allow polymer/DNA complexes to form</t>
    </r>
  </si>
  <si>
    <r>
      <t>7.</t>
    </r>
    <r>
      <rPr>
        <sz val="7"/>
        <color theme="1"/>
        <rFont val="Times New Roman"/>
        <family val="1"/>
      </rPr>
      <t xml:space="preserve">     </t>
    </r>
    <r>
      <rPr>
        <sz val="12"/>
        <color theme="1"/>
        <rFont val="Arial"/>
        <family val="2"/>
      </rPr>
      <t>Add 25 μL PEI/DNA solution to each of 3 wells of the 48 well plate (if run in triplicate)</t>
    </r>
  </si>
  <si>
    <r>
      <t>−</t>
    </r>
    <r>
      <rPr>
        <sz val="7"/>
        <color theme="1"/>
        <rFont val="Times New Roman"/>
        <family val="1"/>
      </rPr>
      <t xml:space="preserve">      </t>
    </r>
    <r>
      <rPr>
        <b/>
        <sz val="12"/>
        <color theme="1"/>
        <rFont val="Arial"/>
        <family val="2"/>
      </rPr>
      <t>Protocol is designed for samples run in triplicate on a 48w plate</t>
    </r>
    <r>
      <rPr>
        <sz val="12"/>
        <color theme="1"/>
        <rFont val="Arial"/>
        <family val="2"/>
      </rPr>
      <t xml:space="preserve"> – DNA and PEI solutions should scale linearly with increases or decreases in transfection amounts</t>
    </r>
  </si>
  <si>
    <r>
      <t>−</t>
    </r>
    <r>
      <rPr>
        <sz val="7"/>
        <color theme="1"/>
        <rFont val="Times New Roman"/>
        <family val="1"/>
      </rPr>
      <t xml:space="preserve">      </t>
    </r>
    <r>
      <rPr>
        <sz val="12"/>
        <color theme="1"/>
        <rFont val="Arial"/>
        <family val="2"/>
      </rPr>
      <t>Protocol makes N=4 for use with N=3 experiments, accounting for pipetting errors</t>
    </r>
  </si>
  <si>
    <r>
      <t>−</t>
    </r>
    <r>
      <rPr>
        <sz val="7"/>
        <color theme="1"/>
        <rFont val="Times New Roman"/>
        <family val="1"/>
      </rPr>
      <t xml:space="preserve">      </t>
    </r>
    <r>
      <rPr>
        <sz val="12"/>
        <color theme="1"/>
        <rFont val="Arial"/>
        <family val="2"/>
      </rPr>
      <t>PEI/DNA mixtures should be vortexed well and allowed to sit 10 minutes before transfecting</t>
    </r>
  </si>
  <si>
    <r>
      <t>−</t>
    </r>
    <r>
      <rPr>
        <sz val="7"/>
        <color theme="1"/>
        <rFont val="Times New Roman"/>
        <family val="1"/>
      </rPr>
      <t xml:space="preserve">      </t>
    </r>
    <r>
      <rPr>
        <sz val="12"/>
        <color theme="1"/>
        <rFont val="Arial"/>
        <family val="2"/>
      </rPr>
      <t>Generally noted that letting PEI/DNA mixtures sit &gt;15 min leads to poor transfection efficiency, also reported in literature at longer times</t>
    </r>
  </si>
  <si>
    <t>Tet System and the Tet Response Element (TRE)</t>
  </si>
  <si>
    <t>A TRE is 7 repeats of a 19 nucleotide tetracycline operator (tetO) sequence, and is recognized by the tetracycline repressor (tetR)</t>
  </si>
  <si>
    <t>Tetracycline-dependent promoters are developed by placing a TRE upstream of a minimal promoter.</t>
  </si>
  <si>
    <t>Tetracycline (Tet) Inducible Expression</t>
    <phoneticPr fontId="26" type="noConversion"/>
  </si>
  <si>
    <t>Tet off</t>
    <phoneticPr fontId="26" type="noConversion"/>
  </si>
  <si>
    <t xml:space="preserve">The initial system Gossen and Bujard developed is known as tetracycline off: in the presence of tetracycline, expression from a tet-inducible promoter is reduced. </t>
    <phoneticPr fontId="26" type="noConversion"/>
  </si>
  <si>
    <t>To use tetracycline as a regulator of gene expression, a tetracycline-controlled transactivator (tTA) was developed. tTA was created by fusing tetR with the C-terminal domain of VP16 (virion protein 16), an essential transcriptional activation domain from HSV (herpes simplex virus).</t>
    <phoneticPr fontId="26" type="noConversion"/>
  </si>
  <si>
    <t>Tet on</t>
    <phoneticPr fontId="26" type="noConversion"/>
  </si>
  <si>
    <t>The new transactivator rtTA ( reverse tetracycline-controlled transactivator) was created by fusing rTetR with VP16. The tetracycline on system is also known as the rtTA-dependent system.</t>
    <phoneticPr fontId="26" type="noConversion"/>
  </si>
  <si>
    <t xml:space="preserve">Mutating these residues led to the development of a reverse Tet repressor, or rTetR, which reversed the phenotype and created a reliance on the presence of tetracycline for induction, rather than repression. </t>
    <phoneticPr fontId="26" type="noConversion"/>
  </si>
  <si>
    <t>If your gene of interest should be active, and only turned off occasionally, using tetracycline off or tTA is more appropriate.</t>
  </si>
  <si>
    <t>If your gene of interest should be mostly inactive, and only turned on occasionally, using tetracycline on or rtTA is more appropriate.</t>
  </si>
  <si>
    <t>Components for a tetracycline off system are:</t>
  </si>
  <si>
    <t>Plasmid containing a tetracycline-dependent promoter upstream of your gene of interest</t>
  </si>
  <si>
    <t>tTA expression plasmid</t>
  </si>
  <si>
    <t>Components for a tetracycline on system are:</t>
  </si>
  <si>
    <t>rtTA or TetR expression plasmid</t>
  </si>
  <si>
    <t>Stable cell lines can be made that continuously express a system component (e.g. tTA).</t>
  </si>
  <si>
    <t>A derivative of tetracycline, doxycycline (dox), is a preferred effector for tetracycline transregulation. Dox binds with high affinity to tTA and rtTA; thus, dox can be used in both tetracycline on and off systems.</t>
  </si>
  <si>
    <t>Dox also has good tissue distribution, low toxicity, a known half-life (24 hours), and is compararably inexpensive.</t>
  </si>
  <si>
    <t>Some cell culture sera may contain tetracycline or its derivatives which can result in unintended system induction. Investigate whether or not your serum is tetracycline-free.</t>
  </si>
  <si>
    <t>The induction profiles for other tetracycline derivatives can be viewed inKrueger et al, 2004.</t>
  </si>
  <si>
    <t>Introduction</t>
    <phoneticPr fontId="26" type="noConversion"/>
  </si>
  <si>
    <t>Experimental Tips</t>
    <phoneticPr fontId="26" type="noConversion"/>
  </si>
  <si>
    <t>Choosing a tet system</t>
    <phoneticPr fontId="26" type="noConversion"/>
  </si>
  <si>
    <t>Basic components</t>
    <phoneticPr fontId="26" type="noConversion"/>
  </si>
  <si>
    <t>Use of tetracycline or a derivative</t>
    <phoneticPr fontId="26" type="noConversion"/>
  </si>
  <si>
    <t>Reference:</t>
    <phoneticPr fontId="26" type="noConversion"/>
  </si>
  <si>
    <t>https://www.addgene.org/tetracycline/</t>
  </si>
  <si>
    <t>http://www.tetsystems.com/support/a-practical-guide/</t>
  </si>
  <si>
    <t>Doxycycline hydrochloride (Dox-HCl, which, like tetracycline hydrochloride, is water soluble) is the preferred effector substance, functioning efficiently with tTA (Tet-Off), rtTA (Tet-On), and rtTA2-syn1.</t>
  </si>
  <si>
    <t>A freshly made stock solution of Dox-HCl (1 mg/ml in H2O; filter-sterilized and stored at 4 °C in the dark) can be used for up to 2 weeks. Alternatively, stock solutions can be frozen in small aliquots at -20°C, for long term storage. Dox-HCl in PBS forms a precipitate after a few days. </t>
  </si>
  <si>
    <t>Furthermore, the antibiotic is binds to serum proteins thus serum-containing culture medium supplemented with Dox-HCl should not be stored for prolonged times.</t>
    <phoneticPr fontId="26" type="noConversion"/>
  </si>
  <si>
    <t>Effector Substance</t>
    <phoneticPr fontId="26" type="noConversion"/>
  </si>
  <si>
    <t>Day1</t>
    <phoneticPr fontId="0" type="noConversion"/>
  </si>
  <si>
    <t>***Note: 5PSGN media = DMEM supplemented with (v/v) 5% fetal bovine serum (5), 1% Penicillin/Streptamycin (PS), 1% L-Glutamine (G), 1% Sodium Pyruvate (N)</t>
  </si>
  <si>
    <t>1. Suction off media from 80% confluent HEK293FT cells in a T175. Add 3 mL 0.05% Trypsin to the cells, replace in the 37 C incubator and let sit ~5 minutes</t>
  </si>
  <si>
    <t>2. When cells are detached, flow in 7 mL 5PSGN media and pipette against the wall of the flask several times to collect all cells. Transfer to a 15 mL conical tube and centrifuge @ 400xg for 3 minutes</t>
  </si>
  <si>
    <t>3. Remove media from cell pellet by suctioning, replace the cap on the conical, and aggressively tap the conical tube agains the biosafety cabinet to disrupt the cell pellet. Add 10 mL 5PSGN (using Tet-Approved FBS) to the cells and mix by pipetting.</t>
  </si>
  <si>
    <r>
      <t xml:space="preserve">4. Count the cells, and aliquot 50k cells/well into desired wells of a 48w plate. Bring total volume in each well to 250 </t>
    </r>
    <r>
      <rPr>
        <sz val="12"/>
        <color theme="1"/>
        <rFont val="Calibri"/>
        <family val="2"/>
      </rPr>
      <t>μ</t>
    </r>
    <r>
      <rPr>
        <sz val="12"/>
        <color theme="1"/>
        <rFont val="Arial"/>
        <family val="2"/>
      </rPr>
      <t>L with addition of 5PSGN (Tet-Approved)</t>
    </r>
  </si>
  <si>
    <t>5. Jerk plates in a '+' sign several times to ensure cells spread evenly throughout well, and replace in the incubator at 37 C and 5% CO2</t>
  </si>
  <si>
    <t>Day2</t>
    <phoneticPr fontId="0" type="noConversion"/>
  </si>
  <si>
    <t>Transfection</t>
    <phoneticPr fontId="0" type="noConversion"/>
  </si>
  <si>
    <t>1. Examine cells to ensure they are spread evenly and ~70% confluent</t>
  </si>
  <si>
    <t>2. Transfect cells according the the 'PEI Transfection' tab in the biosafety cabinet</t>
  </si>
  <si>
    <t xml:space="preserve">1. Add doxycycline to all '+ Dox' samples to a final concentration of 100 ng/mL in each of the appropriate wells. </t>
  </si>
  <si>
    <t>**Note: Bead Solution: 3 drops of SpheroTech RCP-30-5A beads, 3 mL FACS running buffer/sheath fluid (PBS is fine)</t>
  </si>
  <si>
    <t>1. Examine cells to ensure they still look healthy</t>
  </si>
  <si>
    <r>
      <t xml:space="preserve">2. Remove media from cells by suctioning, and add 50 </t>
    </r>
    <r>
      <rPr>
        <sz val="12"/>
        <color theme="1"/>
        <rFont val="Calibri"/>
        <family val="2"/>
      </rPr>
      <t>μ</t>
    </r>
    <r>
      <rPr>
        <sz val="12"/>
        <color theme="1"/>
        <rFont val="Arial"/>
        <family val="2"/>
      </rPr>
      <t>L 0.05% Trypsin to each well. Replace in the 37 C incubator and let sit ~5 minutes</t>
    </r>
  </si>
  <si>
    <r>
      <t xml:space="preserve">3. While trypsinizing, add 75 </t>
    </r>
    <r>
      <rPr>
        <sz val="12"/>
        <color theme="1"/>
        <rFont val="Calibri"/>
        <family val="2"/>
      </rPr>
      <t>μ</t>
    </r>
    <r>
      <rPr>
        <sz val="12"/>
        <color theme="1"/>
        <rFont val="Arial"/>
        <family val="2"/>
      </rPr>
      <t>L 5PSGN to all appropriate wells of a 96 well plate</t>
    </r>
  </si>
  <si>
    <t>4. When cells are detached,  add 75 μL 5PSGN to neutralize the trypsin. Thoroughly mix cells by pipetting aggressively up and down 4-6x, creating a single cell suspension.</t>
  </si>
  <si>
    <t>5. Transfer 125 μL of cell suspension to appropriate wells of the 96 well plate</t>
  </si>
  <si>
    <t>6. Prior to running cells on flow cytometer, run 100 μL bead solution for calibration purposes</t>
  </si>
  <si>
    <t>pBW2139</t>
  </si>
  <si>
    <t>pBW586</t>
  </si>
  <si>
    <t>pBW339</t>
  </si>
  <si>
    <t>pBW363</t>
  </si>
  <si>
    <t>pLC41</t>
  </si>
  <si>
    <t>pLC20</t>
  </si>
  <si>
    <t>pBW2909</t>
  </si>
  <si>
    <r>
      <rPr>
        <b/>
        <sz val="12"/>
        <color rgb="FFFF0000"/>
        <rFont val="Arial"/>
        <family val="2"/>
      </rPr>
      <t>CFP</t>
    </r>
    <r>
      <rPr>
        <sz val="12"/>
        <color theme="1"/>
        <rFont val="Arial"/>
        <family val="2"/>
      </rPr>
      <t xml:space="preserve"> (pCAG-mRuby pKK205)</t>
    </r>
  </si>
  <si>
    <r>
      <rPr>
        <b/>
        <sz val="12"/>
        <color rgb="FF0070C0"/>
        <rFont val="Arial"/>
        <family val="2"/>
      </rPr>
      <t>IFP</t>
    </r>
    <r>
      <rPr>
        <sz val="12"/>
        <color theme="1"/>
        <rFont val="Arial"/>
        <family val="2"/>
      </rPr>
      <t xml:space="preserve"> (TRE-BFP-from-BW2139? pKK372)</t>
    </r>
  </si>
  <si>
    <r>
      <rPr>
        <b/>
        <sz val="12"/>
        <color rgb="FF00B050"/>
        <rFont val="Arial"/>
        <family val="2"/>
      </rPr>
      <t>OFP</t>
    </r>
    <r>
      <rPr>
        <sz val="12"/>
        <color theme="1"/>
        <rFont val="Arial"/>
        <family val="2"/>
      </rPr>
      <t xml:space="preserve"> (FSF-GFP pKK370)</t>
    </r>
  </si>
  <si>
    <t>pEF-rtTA (from-BW586?? pKK371)</t>
  </si>
  <si>
    <t xml:space="preserve">BLANK (Cag-FALSE pKK203) </t>
  </si>
  <si>
    <t>LC41 (pHR-hU6-shRNAFF4 pKK375)</t>
  </si>
  <si>
    <t>LC20 (pHR-U6/TetO-shRNA pKK374)</t>
  </si>
  <si>
    <t>TRE-FlpO-3xshFF4 (from-BW2909 pKK373)</t>
  </si>
  <si>
    <t>1:DNA X</t>
  </si>
  <si>
    <t>2:DNA A</t>
  </si>
  <si>
    <t>Unit: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</si>
</sst>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sz val="12"/>
      <name val="Calibri"/>
      <family val="2"/>
      <scheme val="minor"/>
    </font>
    <font>
      <b/>
      <sz val="11"/>
      <name val="Calibri"/>
      <family val="2"/>
      <scheme val="minor"/>
    </font>
    <font>
      <sz val="11"/>
      <color rgb="FF008000"/>
      <name val="Calibri"/>
      <family val="2"/>
      <scheme val="minor"/>
    </font>
    <font>
      <sz val="11"/>
      <color rgb="FFFF0000"/>
      <name val="Calibri"/>
      <family val="2"/>
      <scheme val="minor"/>
    </font>
    <font>
      <sz val="11"/>
      <color rgb="FFE67E00"/>
      <name val="Calibri"/>
      <family val="2"/>
      <scheme val="minor"/>
    </font>
    <font>
      <sz val="12"/>
      <color theme="1"/>
      <name val="Arial"/>
      <family val="2"/>
    </font>
    <font>
      <b/>
      <sz val="12"/>
      <color theme="1"/>
      <name val="Arial"/>
      <family val="2"/>
    </font>
    <font>
      <sz val="12"/>
      <color theme="1"/>
      <name val="Wingdings"/>
      <charset val="2"/>
    </font>
    <font>
      <b/>
      <sz val="12"/>
      <color theme="0" tint="-0.499984740745262"/>
      <name val="Arial"/>
      <family val="2"/>
    </font>
    <font>
      <b/>
      <sz val="12"/>
      <color rgb="FF0070C0"/>
      <name val="Arial"/>
      <family val="2"/>
    </font>
    <font>
      <b/>
      <sz val="12"/>
      <color rgb="FF00B050"/>
      <name val="Arial"/>
      <family val="2"/>
    </font>
    <font>
      <b/>
      <sz val="12"/>
      <color rgb="FFFF0000"/>
      <name val="Arial"/>
      <family val="2"/>
    </font>
    <font>
      <u/>
      <sz val="12"/>
      <color theme="10"/>
      <name val="Calibri"/>
      <family val="2"/>
      <scheme val="minor"/>
    </font>
    <font>
      <sz val="9"/>
      <name val="Calibri"/>
      <family val="3"/>
      <charset val="134"/>
      <scheme val="minor"/>
    </font>
    <font>
      <b/>
      <sz val="12"/>
      <color theme="1"/>
      <name val="Calibri"/>
      <family val="2"/>
      <scheme val="minor"/>
    </font>
    <font>
      <sz val="12"/>
      <color theme="0"/>
      <name val="Arial"/>
      <family val="2"/>
    </font>
    <font>
      <sz val="12"/>
      <color theme="1"/>
      <name val="Arial "/>
      <family val="2"/>
      <charset val="134"/>
    </font>
    <font>
      <sz val="11"/>
      <color rgb="FF006100"/>
      <name val="Calibri"/>
      <family val="2"/>
      <charset val="134"/>
      <scheme val="minor"/>
    </font>
    <font>
      <sz val="11"/>
      <color rgb="FF9C6500"/>
      <name val="Calibri"/>
      <family val="2"/>
      <charset val="134"/>
      <scheme val="minor"/>
    </font>
    <font>
      <sz val="11"/>
      <color rgb="FF9C0006"/>
      <name val="Calibri"/>
      <family val="2"/>
      <charset val="134"/>
      <scheme val="minor"/>
    </font>
    <font>
      <sz val="11"/>
      <color theme="0"/>
      <name val="Calibri"/>
      <family val="2"/>
      <charset val="134"/>
      <scheme val="minor"/>
    </font>
    <font>
      <sz val="12"/>
      <color theme="1"/>
      <name val="Calibri"/>
      <family val="2"/>
      <scheme val="minor"/>
    </font>
    <font>
      <b/>
      <u/>
      <sz val="12"/>
      <color theme="1"/>
      <name val="Arial"/>
      <family val="2"/>
    </font>
    <font>
      <vertAlign val="subscript"/>
      <sz val="12"/>
      <color theme="1"/>
      <name val="Arial"/>
      <family val="2"/>
    </font>
    <font>
      <sz val="7"/>
      <color theme="1"/>
      <name val="Times New Roman"/>
      <family val="1"/>
    </font>
    <font>
      <sz val="12"/>
      <color theme="1"/>
      <name val="Calibri"/>
      <family val="2"/>
    </font>
    <font>
      <sz val="12"/>
      <color rgb="FFFF0000"/>
      <name val="Calibri"/>
      <family val="2"/>
      <scheme val="minor"/>
    </font>
  </fonts>
  <fills count="15">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1" tint="4.9989318521683403E-2"/>
        <bgColor indexed="64"/>
      </patternFill>
    </fill>
    <fill>
      <patternFill patternType="solid">
        <fgColor rgb="FFC6EFCE"/>
      </patternFill>
    </fill>
    <fill>
      <patternFill patternType="solid">
        <fgColor rgb="FFFFEB9C"/>
      </patternFill>
    </fill>
    <fill>
      <patternFill patternType="solid">
        <fgColor rgb="FFFFC7CE"/>
      </patternFill>
    </fill>
    <fill>
      <patternFill patternType="solid">
        <fgColor theme="8" tint="0.39997558519241921"/>
        <bgColor indexed="65"/>
      </patternFill>
    </fill>
    <fill>
      <patternFill patternType="solid">
        <fgColor theme="2" tint="-9.9978637043366805E-2"/>
        <bgColor indexed="64"/>
      </patternFill>
    </fill>
  </fills>
  <borders count="5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style="thin">
        <color auto="1"/>
      </left>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style="medium">
        <color indexed="64"/>
      </left>
      <right style="thin">
        <color auto="1"/>
      </right>
      <top style="thin">
        <color auto="1"/>
      </top>
      <bottom/>
      <diagonal/>
    </border>
    <border>
      <left/>
      <right style="medium">
        <color indexed="64"/>
      </right>
      <top/>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right/>
      <top style="thick">
        <color auto="1"/>
      </top>
      <bottom/>
      <diagonal/>
    </border>
  </borders>
  <cellStyleXfs count="7">
    <xf numFmtId="0" fontId="0" fillId="0" borderId="0"/>
    <xf numFmtId="0" fontId="25" fillId="0" borderId="0" applyNumberFormat="0" applyFill="0" applyBorder="0" applyAlignment="0" applyProtection="0"/>
    <xf numFmtId="0" fontId="18" fillId="0" borderId="0">
      <alignment horizontal="center" vertical="center" wrapText="1"/>
    </xf>
    <xf numFmtId="0" fontId="30" fillId="10" borderId="0" applyNumberFormat="0" applyBorder="0" applyAlignment="0" applyProtection="0">
      <alignment vertical="center"/>
    </xf>
    <xf numFmtId="0" fontId="31" fillId="11" borderId="0" applyNumberFormat="0" applyBorder="0" applyAlignment="0" applyProtection="0">
      <alignment vertical="center"/>
    </xf>
    <xf numFmtId="0" fontId="32" fillId="12" borderId="0" applyNumberFormat="0" applyBorder="0" applyAlignment="0" applyProtection="0">
      <alignment vertical="center"/>
    </xf>
    <xf numFmtId="0" fontId="33" fillId="13" borderId="0" applyNumberFormat="0" applyBorder="0" applyAlignment="0" applyProtection="0">
      <alignment vertical="center"/>
    </xf>
  </cellStyleXfs>
  <cellXfs count="226">
    <xf numFmtId="0" fontId="0" fillId="0" borderId="0" xfId="0"/>
    <xf numFmtId="0" fontId="0" fillId="0" borderId="0" xfId="0" applyFont="1"/>
    <xf numFmtId="0" fontId="12" fillId="0" borderId="0" xfId="0" applyFont="1" applyFill="1" applyBorder="1" applyAlignment="1"/>
    <xf numFmtId="0" fontId="0" fillId="0" borderId="4" xfId="0" applyFont="1" applyBorder="1" applyAlignment="1">
      <alignment horizontal="center" vertical="center"/>
    </xf>
    <xf numFmtId="0" fontId="0" fillId="0" borderId="10" xfId="0" applyFont="1" applyBorder="1" applyAlignment="1">
      <alignment horizontal="center" vertical="center"/>
    </xf>
    <xf numFmtId="0" fontId="0" fillId="0" borderId="4" xfId="0" applyFont="1" applyBorder="1" applyAlignment="1">
      <alignment horizontal="center" vertical="center" wrapText="1"/>
    </xf>
    <xf numFmtId="0" fontId="5" fillId="0" borderId="0" xfId="0" applyFont="1" applyFill="1" applyBorder="1" applyAlignment="1">
      <alignment horizontal="center" vertical="center"/>
    </xf>
    <xf numFmtId="0" fontId="0" fillId="0" borderId="0" xfId="0" applyFont="1" applyFill="1" applyBorder="1"/>
    <xf numFmtId="0" fontId="5" fillId="0" borderId="4" xfId="0" applyFont="1" applyBorder="1" applyAlignment="1">
      <alignment horizontal="center" vertical="center"/>
    </xf>
    <xf numFmtId="0" fontId="11" fillId="0" borderId="0" xfId="0" applyFont="1" applyFill="1" applyBorder="1" applyAlignment="1">
      <alignment vertical="center"/>
    </xf>
    <xf numFmtId="0" fontId="0" fillId="0" borderId="0" xfId="0" applyFont="1" applyBorder="1" applyAlignment="1">
      <alignment vertical="center" wrapText="1"/>
    </xf>
    <xf numFmtId="0" fontId="8" fillId="2" borderId="4" xfId="0" applyFont="1" applyFill="1" applyBorder="1" applyAlignment="1">
      <alignment horizontal="center" vertical="center" wrapText="1"/>
    </xf>
    <xf numFmtId="0" fontId="8" fillId="2" borderId="4" xfId="0" applyFont="1" applyFill="1" applyBorder="1" applyAlignment="1">
      <alignment horizontal="center" vertical="center" wrapText="1"/>
    </xf>
    <xf numFmtId="0" fontId="0" fillId="0" borderId="8" xfId="0" applyFont="1" applyBorder="1" applyAlignment="1">
      <alignment horizontal="center" vertical="center"/>
    </xf>
    <xf numFmtId="0" fontId="0" fillId="0" borderId="12" xfId="0" applyFont="1" applyBorder="1" applyAlignment="1">
      <alignment horizontal="center" vertical="center"/>
    </xf>
    <xf numFmtId="0" fontId="0" fillId="0" borderId="0" xfId="0" applyFont="1" applyAlignment="1">
      <alignment vertical="center"/>
    </xf>
    <xf numFmtId="2" fontId="0" fillId="0" borderId="0" xfId="0" applyNumberFormat="1" applyFont="1" applyAlignment="1">
      <alignment vertical="center"/>
    </xf>
    <xf numFmtId="0" fontId="0" fillId="0" borderId="0" xfId="0" applyFont="1" applyFill="1" applyBorder="1" applyAlignment="1">
      <alignment horizontal="left" vertical="center" wrapText="1"/>
    </xf>
    <xf numFmtId="0" fontId="5" fillId="0" borderId="0" xfId="0" applyFont="1" applyFill="1" applyBorder="1" applyAlignment="1">
      <alignment vertical="center"/>
    </xf>
    <xf numFmtId="0" fontId="5" fillId="2" borderId="11" xfId="0" applyFont="1" applyFill="1" applyBorder="1" applyAlignment="1">
      <alignment horizontal="center" vertical="center"/>
    </xf>
    <xf numFmtId="0" fontId="5" fillId="0" borderId="0" xfId="0" applyFont="1" applyBorder="1" applyAlignment="1">
      <alignment vertical="center"/>
    </xf>
    <xf numFmtId="0" fontId="5" fillId="0" borderId="0" xfId="0" applyFont="1" applyBorder="1" applyAlignment="1">
      <alignment horizontal="left" vertical="center" wrapText="1"/>
    </xf>
    <xf numFmtId="49" fontId="0" fillId="0" borderId="4" xfId="0" applyNumberFormat="1" applyFont="1" applyBorder="1" applyAlignment="1">
      <alignment horizontal="center" vertical="center"/>
    </xf>
    <xf numFmtId="0" fontId="0" fillId="0" borderId="0" xfId="0" applyFont="1" applyBorder="1" applyAlignment="1">
      <alignment horizontal="center" vertical="center"/>
    </xf>
    <xf numFmtId="0" fontId="14" fillId="0" borderId="7" xfId="0" applyFont="1" applyFill="1" applyBorder="1" applyAlignment="1">
      <alignment horizontal="center" vertical="center" wrapText="1"/>
    </xf>
    <xf numFmtId="0" fontId="5" fillId="0" borderId="8" xfId="0" applyFont="1" applyFill="1" applyBorder="1" applyAlignment="1">
      <alignment horizontal="center" vertical="center"/>
    </xf>
    <xf numFmtId="0" fontId="0" fillId="4" borderId="4" xfId="0" applyFont="1" applyFill="1" applyBorder="1" applyAlignment="1">
      <alignment horizontal="center" vertical="center"/>
    </xf>
    <xf numFmtId="0" fontId="0" fillId="0" borderId="4" xfId="0" applyFont="1" applyFill="1" applyBorder="1" applyAlignment="1">
      <alignment horizontal="center" vertical="center"/>
    </xf>
    <xf numFmtId="0" fontId="0" fillId="0" borderId="4" xfId="0" applyFont="1" applyBorder="1" applyAlignment="1">
      <alignment horizontal="center" vertical="center" wrapText="1" shrinkToFit="1"/>
    </xf>
    <xf numFmtId="0" fontId="0" fillId="8" borderId="11" xfId="0" applyFont="1" applyFill="1" applyBorder="1" applyAlignment="1">
      <alignment horizontal="center" vertical="center"/>
    </xf>
    <xf numFmtId="0" fontId="14" fillId="0" borderId="14" xfId="0" applyFont="1" applyFill="1" applyBorder="1" applyAlignment="1">
      <alignment horizontal="center" vertical="center" wrapText="1"/>
    </xf>
    <xf numFmtId="0" fontId="13" fillId="0" borderId="0" xfId="0" applyFont="1" applyBorder="1" applyAlignment="1">
      <alignment horizontal="center" vertical="center" wrapText="1"/>
    </xf>
    <xf numFmtId="0" fontId="14" fillId="7" borderId="7" xfId="0" applyFont="1" applyFill="1" applyBorder="1" applyAlignment="1">
      <alignment horizontal="center" vertical="center"/>
    </xf>
    <xf numFmtId="0" fontId="9" fillId="7" borderId="9" xfId="0" applyFont="1" applyFill="1" applyBorder="1" applyAlignment="1">
      <alignment horizontal="center" vertical="center" wrapText="1"/>
    </xf>
    <xf numFmtId="49" fontId="6" fillId="5" borderId="9" xfId="0" applyNumberFormat="1" applyFont="1" applyFill="1" applyBorder="1" applyAlignment="1">
      <alignment horizontal="center" vertical="center" wrapText="1"/>
    </xf>
    <xf numFmtId="49" fontId="6" fillId="5" borderId="7" xfId="0" applyNumberFormat="1" applyFont="1" applyFill="1" applyBorder="1" applyAlignment="1">
      <alignment horizontal="center" vertical="center" wrapText="1"/>
    </xf>
    <xf numFmtId="49" fontId="0" fillId="0" borderId="10" xfId="0" applyNumberFormat="1" applyFont="1" applyBorder="1" applyAlignment="1">
      <alignment horizontal="center" vertical="center"/>
    </xf>
    <xf numFmtId="49" fontId="0" fillId="0" borderId="0" xfId="0" applyNumberFormat="1" applyFont="1" applyAlignment="1">
      <alignment vertical="center"/>
    </xf>
    <xf numFmtId="49" fontId="0" fillId="0" borderId="0" xfId="0" applyNumberFormat="1" applyFont="1" applyFill="1" applyBorder="1" applyAlignment="1">
      <alignment horizontal="left" vertical="center" wrapText="1"/>
    </xf>
    <xf numFmtId="49" fontId="0" fillId="0" borderId="0" xfId="0" applyNumberFormat="1" applyFont="1" applyBorder="1" applyAlignment="1">
      <alignment horizontal="center" vertical="center"/>
    </xf>
    <xf numFmtId="0" fontId="7" fillId="0" borderId="9" xfId="0" applyFont="1" applyFill="1" applyBorder="1" applyAlignment="1">
      <alignment horizontal="center" vertical="center" wrapText="1"/>
    </xf>
    <xf numFmtId="0" fontId="4" fillId="0" borderId="12" xfId="0" applyFont="1" applyFill="1" applyBorder="1" applyAlignment="1">
      <alignment horizontal="center" vertical="center" wrapText="1"/>
    </xf>
    <xf numFmtId="0" fontId="9" fillId="4" borderId="10" xfId="0" applyFont="1" applyFill="1" applyBorder="1" applyAlignment="1">
      <alignment horizontal="center" vertical="center" wrapText="1"/>
    </xf>
    <xf numFmtId="0" fontId="9" fillId="4" borderId="13" xfId="0" applyFont="1" applyFill="1" applyBorder="1" applyAlignment="1">
      <alignment horizontal="center" vertical="center" wrapText="1"/>
    </xf>
    <xf numFmtId="0" fontId="0" fillId="0" borderId="0" xfId="0" applyNumberFormat="1" applyFont="1" applyAlignment="1">
      <alignment vertical="center"/>
    </xf>
    <xf numFmtId="0" fontId="0" fillId="0" borderId="0" xfId="0" applyNumberFormat="1" applyFont="1" applyFill="1" applyBorder="1" applyAlignment="1">
      <alignment horizontal="left" vertical="center" wrapText="1"/>
    </xf>
    <xf numFmtId="0" fontId="5" fillId="4" borderId="8" xfId="0" applyNumberFormat="1" applyFont="1" applyFill="1" applyBorder="1" applyAlignment="1">
      <alignment horizontal="center" vertical="center"/>
    </xf>
    <xf numFmtId="0" fontId="5" fillId="2" borderId="8" xfId="0" applyNumberFormat="1" applyFont="1" applyFill="1" applyBorder="1" applyAlignment="1">
      <alignment horizontal="center" vertical="center"/>
    </xf>
    <xf numFmtId="0" fontId="13" fillId="0" borderId="8" xfId="0" applyNumberFormat="1" applyFont="1" applyBorder="1" applyAlignment="1">
      <alignment horizontal="center" vertical="center"/>
    </xf>
    <xf numFmtId="0" fontId="13" fillId="0" borderId="12" xfId="0" applyNumberFormat="1" applyFont="1" applyBorder="1" applyAlignment="1">
      <alignment horizontal="center" vertical="center"/>
    </xf>
    <xf numFmtId="0" fontId="5" fillId="0" borderId="0" xfId="0" applyNumberFormat="1" applyFont="1" applyBorder="1" applyAlignment="1">
      <alignment vertical="center"/>
    </xf>
    <xf numFmtId="0" fontId="13" fillId="0" borderId="0" xfId="0" applyNumberFormat="1" applyFont="1" applyBorder="1" applyAlignment="1">
      <alignment horizontal="center" vertical="center"/>
    </xf>
    <xf numFmtId="0" fontId="5" fillId="0" borderId="20" xfId="0" applyFont="1" applyFill="1" applyBorder="1" applyAlignment="1">
      <alignment horizontal="center" vertical="center"/>
    </xf>
    <xf numFmtId="0" fontId="0" fillId="4" borderId="18" xfId="0" applyFont="1" applyFill="1" applyBorder="1" applyAlignment="1">
      <alignment horizontal="center" vertical="center"/>
    </xf>
    <xf numFmtId="0" fontId="0" fillId="0" borderId="18" xfId="0" applyFont="1" applyFill="1" applyBorder="1" applyAlignment="1">
      <alignment horizontal="center" vertical="center"/>
    </xf>
    <xf numFmtId="0" fontId="7" fillId="7" borderId="30" xfId="0" applyFont="1" applyFill="1" applyBorder="1" applyAlignment="1">
      <alignment horizontal="center" vertical="center"/>
    </xf>
    <xf numFmtId="0" fontId="15" fillId="0" borderId="0" xfId="0" applyFont="1"/>
    <xf numFmtId="0" fontId="16" fillId="0" borderId="0" xfId="0" applyFont="1"/>
    <xf numFmtId="0" fontId="17" fillId="0" borderId="0" xfId="0" applyFont="1"/>
    <xf numFmtId="0" fontId="9" fillId="7" borderId="7" xfId="0" applyFont="1" applyFill="1" applyBorder="1" applyAlignment="1">
      <alignment horizontal="center" vertical="center" wrapText="1"/>
    </xf>
    <xf numFmtId="0" fontId="5" fillId="2" borderId="11" xfId="0" applyFont="1" applyFill="1" applyBorder="1" applyAlignment="1">
      <alignment horizontal="center" vertical="center" wrapText="1"/>
    </xf>
    <xf numFmtId="0" fontId="14" fillId="7" borderId="7"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5" fillId="0" borderId="4" xfId="0" applyFont="1" applyBorder="1" applyAlignment="1">
      <alignment horizontal="center" vertical="center"/>
    </xf>
    <xf numFmtId="0" fontId="21" fillId="3" borderId="40" xfId="0" applyFont="1" applyFill="1" applyBorder="1"/>
    <xf numFmtId="16" fontId="18" fillId="4" borderId="4" xfId="0" applyNumberFormat="1" applyFont="1" applyFill="1" applyBorder="1"/>
    <xf numFmtId="0" fontId="21" fillId="3" borderId="25" xfId="0" applyFont="1" applyFill="1" applyBorder="1"/>
    <xf numFmtId="18" fontId="18" fillId="4" borderId="4" xfId="0" applyNumberFormat="1" applyFont="1" applyFill="1" applyBorder="1"/>
    <xf numFmtId="18" fontId="18" fillId="4" borderId="39" xfId="0" applyNumberFormat="1" applyFont="1" applyFill="1" applyBorder="1"/>
    <xf numFmtId="0" fontId="21" fillId="3" borderId="24" xfId="0" applyFont="1" applyFill="1" applyBorder="1"/>
    <xf numFmtId="0" fontId="18" fillId="4" borderId="4" xfId="0" applyFont="1" applyFill="1" applyBorder="1"/>
    <xf numFmtId="0" fontId="21" fillId="0" borderId="0" xfId="0" applyFont="1" applyFill="1" applyBorder="1"/>
    <xf numFmtId="0" fontId="19" fillId="0" borderId="0" xfId="0" applyFont="1" applyFill="1" applyBorder="1"/>
    <xf numFmtId="0" fontId="18" fillId="0" borderId="0" xfId="0" applyFont="1"/>
    <xf numFmtId="0" fontId="22" fillId="0" borderId="8" xfId="0" applyFont="1" applyBorder="1" applyAlignment="1">
      <alignment horizontal="center" vertical="center"/>
    </xf>
    <xf numFmtId="0" fontId="0" fillId="0" borderId="41" xfId="0" applyFont="1" applyBorder="1" applyAlignment="1">
      <alignment horizontal="center" vertical="center"/>
    </xf>
    <xf numFmtId="49" fontId="0" fillId="0" borderId="39" xfId="0" applyNumberFormat="1" applyFont="1" applyBorder="1" applyAlignment="1">
      <alignment horizontal="center" vertical="center"/>
    </xf>
    <xf numFmtId="0" fontId="0" fillId="0" borderId="39" xfId="0" applyFont="1" applyBorder="1" applyAlignment="1">
      <alignment horizontal="center" vertical="center"/>
    </xf>
    <xf numFmtId="0" fontId="0" fillId="0" borderId="39" xfId="0" applyFont="1" applyBorder="1" applyAlignment="1">
      <alignment horizontal="center" vertical="center" wrapText="1"/>
    </xf>
    <xf numFmtId="0" fontId="0" fillId="0" borderId="10" xfId="0" applyFont="1" applyBorder="1" applyAlignment="1">
      <alignment horizontal="center" vertical="center" wrapText="1"/>
    </xf>
    <xf numFmtId="0" fontId="0" fillId="0" borderId="0" xfId="0" applyFont="1" applyBorder="1" applyAlignment="1">
      <alignment horizontal="center" vertical="center" wrapText="1"/>
    </xf>
    <xf numFmtId="0" fontId="2" fillId="4" borderId="10" xfId="0" applyFont="1" applyFill="1" applyBorder="1" applyAlignment="1">
      <alignment horizontal="center" vertical="center" wrapText="1"/>
    </xf>
    <xf numFmtId="0" fontId="0" fillId="4" borderId="4" xfId="0" quotePrefix="1" applyFont="1" applyFill="1" applyBorder="1" applyAlignment="1">
      <alignment horizontal="center" vertical="center"/>
    </xf>
    <xf numFmtId="0" fontId="5" fillId="0" borderId="39" xfId="0" applyFont="1" applyBorder="1" applyAlignment="1">
      <alignment horizontal="center" vertical="center"/>
    </xf>
    <xf numFmtId="0" fontId="5" fillId="0" borderId="41" xfId="0" applyFont="1" applyFill="1" applyBorder="1" applyAlignment="1">
      <alignment horizontal="center" vertical="center"/>
    </xf>
    <xf numFmtId="0" fontId="0" fillId="4" borderId="3" xfId="0" applyFont="1" applyFill="1" applyBorder="1" applyAlignment="1">
      <alignment horizontal="center" vertical="center"/>
    </xf>
    <xf numFmtId="0" fontId="5" fillId="0" borderId="9" xfId="0" applyFont="1" applyFill="1" applyBorder="1" applyAlignment="1">
      <alignment horizontal="center" vertical="center"/>
    </xf>
    <xf numFmtId="0" fontId="0" fillId="4" borderId="10" xfId="0" applyFont="1" applyFill="1" applyBorder="1" applyAlignment="1">
      <alignment horizontal="center" vertical="center"/>
    </xf>
    <xf numFmtId="0" fontId="0" fillId="4" borderId="10" xfId="0" quotePrefix="1" applyFont="1" applyFill="1" applyBorder="1" applyAlignment="1">
      <alignment horizontal="center" vertical="center"/>
    </xf>
    <xf numFmtId="0" fontId="0" fillId="0" borderId="10" xfId="0" applyFont="1" applyFill="1" applyBorder="1" applyAlignment="1">
      <alignment horizontal="center" vertical="center"/>
    </xf>
    <xf numFmtId="0" fontId="0" fillId="0" borderId="10" xfId="0" applyFont="1" applyBorder="1" applyAlignment="1">
      <alignment horizontal="center" vertical="center" wrapText="1" shrinkToFit="1"/>
    </xf>
    <xf numFmtId="0" fontId="0" fillId="8" borderId="13" xfId="0" applyFont="1" applyFill="1" applyBorder="1" applyAlignment="1">
      <alignment horizontal="center" vertical="center"/>
    </xf>
    <xf numFmtId="0" fontId="2" fillId="7" borderId="31" xfId="0" applyFont="1" applyFill="1" applyBorder="1" applyAlignment="1">
      <alignment horizontal="center" vertical="center" wrapText="1"/>
    </xf>
    <xf numFmtId="49" fontId="6" fillId="5" borderId="42" xfId="0" applyNumberFormat="1" applyFont="1" applyFill="1" applyBorder="1" applyAlignment="1">
      <alignment horizontal="center" vertical="center" wrapText="1"/>
    </xf>
    <xf numFmtId="0" fontId="3" fillId="0" borderId="0" xfId="0" applyFont="1" applyFill="1" applyBorder="1" applyAlignment="1">
      <alignment horizontal="center" vertical="center"/>
    </xf>
    <xf numFmtId="0" fontId="0" fillId="0" borderId="5" xfId="0" applyFont="1" applyBorder="1"/>
    <xf numFmtId="0" fontId="2" fillId="7" borderId="32" xfId="0" applyFont="1" applyFill="1" applyBorder="1" applyAlignment="1">
      <alignment horizontal="center" vertical="center" wrapText="1"/>
    </xf>
    <xf numFmtId="0" fontId="18" fillId="0" borderId="0" xfId="0" applyFont="1" applyBorder="1" applyAlignment="1">
      <alignment horizontal="center" vertical="center" wrapText="1"/>
    </xf>
    <xf numFmtId="0" fontId="18" fillId="0" borderId="45"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47" xfId="0" applyFont="1" applyBorder="1" applyAlignment="1">
      <alignment horizontal="center" vertical="center" wrapText="1"/>
    </xf>
    <xf numFmtId="0" fontId="18" fillId="0" borderId="50" xfId="0" applyFont="1" applyBorder="1" applyAlignment="1">
      <alignment horizontal="center" vertical="center" wrapText="1"/>
    </xf>
    <xf numFmtId="0" fontId="18" fillId="6" borderId="46" xfId="0" applyFont="1" applyFill="1" applyBorder="1" applyAlignment="1">
      <alignment horizontal="center" wrapText="1"/>
    </xf>
    <xf numFmtId="0" fontId="0" fillId="0" borderId="0" xfId="0" applyBorder="1"/>
    <xf numFmtId="0" fontId="5" fillId="0" borderId="4" xfId="0" applyFont="1" applyBorder="1" applyAlignment="1">
      <alignment horizontal="center" vertical="center"/>
    </xf>
    <xf numFmtId="0" fontId="0" fillId="0" borderId="4" xfId="0" applyBorder="1"/>
    <xf numFmtId="0" fontId="18" fillId="0" borderId="43" xfId="0" applyFont="1" applyBorder="1" applyAlignment="1">
      <alignment horizontal="center" vertical="center" wrapText="1"/>
    </xf>
    <xf numFmtId="0" fontId="18" fillId="0" borderId="44" xfId="0" applyFont="1" applyBorder="1" applyAlignment="1">
      <alignment horizontal="center" vertical="center" wrapText="1"/>
    </xf>
    <xf numFmtId="0" fontId="0" fillId="0" borderId="47" xfId="0" applyBorder="1"/>
    <xf numFmtId="0" fontId="0" fillId="0" borderId="49" xfId="0" applyBorder="1"/>
    <xf numFmtId="0" fontId="18" fillId="0" borderId="49" xfId="0" applyFont="1" applyBorder="1" applyAlignment="1">
      <alignment horizontal="center" vertical="center" wrapText="1"/>
    </xf>
    <xf numFmtId="0" fontId="27" fillId="0" borderId="0" xfId="0" applyFont="1" applyAlignment="1"/>
    <xf numFmtId="0" fontId="18" fillId="6" borderId="0" xfId="0" applyFont="1" applyFill="1" applyBorder="1" applyAlignment="1">
      <alignment horizontal="center" wrapText="1"/>
    </xf>
    <xf numFmtId="0" fontId="18" fillId="6" borderId="0" xfId="0" applyFont="1" applyFill="1" applyBorder="1" applyAlignment="1">
      <alignment horizontal="center" vertical="center" wrapText="1"/>
    </xf>
    <xf numFmtId="0" fontId="19" fillId="0" borderId="0" xfId="0" applyFont="1" applyBorder="1" applyAlignment="1">
      <alignment horizontal="center" vertical="center" wrapText="1"/>
    </xf>
    <xf numFmtId="0" fontId="18" fillId="6" borderId="46" xfId="0" applyFont="1" applyFill="1" applyBorder="1" applyAlignment="1">
      <alignment horizontal="center" vertical="center" wrapText="1"/>
    </xf>
    <xf numFmtId="0" fontId="18" fillId="6" borderId="48" xfId="0" applyFont="1" applyFill="1" applyBorder="1" applyAlignment="1">
      <alignment horizontal="center" vertical="center" wrapText="1"/>
    </xf>
    <xf numFmtId="0" fontId="19" fillId="0" borderId="0" xfId="0" applyFont="1" applyBorder="1" applyAlignment="1">
      <alignment horizontal="right" vertical="center" wrapText="1"/>
    </xf>
    <xf numFmtId="0" fontId="5" fillId="2" borderId="4" xfId="0" applyFont="1" applyFill="1" applyBorder="1" applyAlignment="1">
      <alignment horizontal="center" vertical="center"/>
    </xf>
    <xf numFmtId="0" fontId="13" fillId="0" borderId="4" xfId="0" applyFont="1" applyBorder="1" applyAlignment="1">
      <alignment horizontal="center" vertical="center"/>
    </xf>
    <xf numFmtId="0" fontId="0" fillId="0" borderId="11" xfId="0" applyFont="1" applyBorder="1" applyAlignment="1">
      <alignment vertical="center"/>
    </xf>
    <xf numFmtId="0" fontId="10" fillId="0" borderId="11" xfId="0" applyFont="1" applyBorder="1" applyAlignment="1">
      <alignment horizontal="center" vertical="center"/>
    </xf>
    <xf numFmtId="0" fontId="13" fillId="0" borderId="10" xfId="0" applyFont="1" applyBorder="1" applyAlignment="1">
      <alignment horizontal="center" vertical="center" wrapText="1"/>
    </xf>
    <xf numFmtId="0" fontId="0" fillId="0" borderId="13" xfId="0" applyFont="1" applyBorder="1" applyAlignment="1">
      <alignment vertical="center"/>
    </xf>
    <xf numFmtId="0" fontId="5" fillId="0" borderId="11" xfId="0" applyFont="1" applyBorder="1" applyAlignment="1">
      <alignment vertical="center"/>
    </xf>
    <xf numFmtId="0" fontId="13" fillId="0" borderId="4" xfId="0" applyFont="1" applyBorder="1" applyAlignment="1">
      <alignment horizontal="center" vertical="center" wrapText="1"/>
    </xf>
    <xf numFmtId="0" fontId="28" fillId="9" borderId="0" xfId="0" applyFont="1" applyFill="1" applyBorder="1" applyAlignment="1">
      <alignment horizontal="center" vertical="center" wrapText="1"/>
    </xf>
    <xf numFmtId="0" fontId="5" fillId="0" borderId="4" xfId="0" applyFont="1" applyBorder="1" applyAlignment="1">
      <alignment horizontal="center" vertical="center"/>
    </xf>
    <xf numFmtId="0" fontId="0" fillId="0" borderId="11" xfId="0" applyFont="1" applyBorder="1" applyAlignment="1">
      <alignment horizontal="center" vertical="center"/>
    </xf>
    <xf numFmtId="0" fontId="0" fillId="0" borderId="13" xfId="0" applyFont="1" applyBorder="1" applyAlignment="1">
      <alignment horizontal="center" vertical="center"/>
    </xf>
    <xf numFmtId="0" fontId="18" fillId="0" borderId="0" xfId="0" applyFont="1" applyAlignment="1">
      <alignment horizontal="center"/>
    </xf>
    <xf numFmtId="0" fontId="29" fillId="0" borderId="0" xfId="0" applyFont="1" applyAlignment="1">
      <alignment horizontal="center"/>
    </xf>
    <xf numFmtId="0" fontId="25" fillId="0" borderId="0" xfId="1"/>
    <xf numFmtId="0" fontId="18" fillId="0" borderId="0" xfId="0" applyFont="1" applyFill="1" applyBorder="1" applyAlignment="1">
      <alignment horizontal="center" vertical="center" wrapText="1"/>
    </xf>
    <xf numFmtId="0" fontId="32" fillId="12" borderId="0" xfId="5" applyAlignment="1"/>
    <xf numFmtId="0" fontId="34" fillId="0" borderId="0" xfId="0" applyFont="1"/>
    <xf numFmtId="0" fontId="35" fillId="0" borderId="0" xfId="0" applyFont="1" applyAlignment="1">
      <alignment vertical="center"/>
    </xf>
    <xf numFmtId="0" fontId="18" fillId="0" borderId="0" xfId="0" applyFont="1" applyAlignment="1">
      <alignment vertical="center"/>
    </xf>
    <xf numFmtId="0" fontId="18" fillId="0" borderId="0" xfId="0" applyFont="1" applyAlignment="1">
      <alignment horizontal="left" vertical="center" indent="2"/>
    </xf>
    <xf numFmtId="0" fontId="33" fillId="13" borderId="0" xfId="6" applyAlignment="1"/>
    <xf numFmtId="0" fontId="18" fillId="3" borderId="0" xfId="0" applyFont="1" applyFill="1"/>
    <xf numFmtId="0" fontId="0" fillId="0" borderId="11" xfId="0" applyFont="1" applyBorder="1" applyAlignment="1">
      <alignment horizontal="center" vertical="center" wrapText="1"/>
    </xf>
    <xf numFmtId="0" fontId="0" fillId="0" borderId="13" xfId="0" applyFont="1" applyBorder="1" applyAlignment="1">
      <alignment horizontal="center" vertical="center" wrapText="1"/>
    </xf>
    <xf numFmtId="0" fontId="12" fillId="2" borderId="26" xfId="0" applyFont="1" applyFill="1" applyBorder="1" applyAlignment="1">
      <alignment horizontal="center" vertical="center"/>
    </xf>
    <xf numFmtId="0" fontId="12" fillId="2" borderId="29" xfId="0" applyFont="1" applyFill="1" applyBorder="1" applyAlignment="1">
      <alignment horizontal="center" vertical="center"/>
    </xf>
    <xf numFmtId="0" fontId="12" fillId="2" borderId="27" xfId="0" applyFont="1" applyFill="1" applyBorder="1" applyAlignment="1">
      <alignment horizontal="center" vertical="center"/>
    </xf>
    <xf numFmtId="0" fontId="0" fillId="0" borderId="36" xfId="0" applyFont="1" applyBorder="1" applyAlignment="1">
      <alignment horizontal="center" vertical="center" wrapText="1"/>
    </xf>
    <xf numFmtId="0" fontId="0" fillId="0" borderId="19" xfId="0" applyFont="1" applyBorder="1" applyAlignment="1">
      <alignment horizontal="center" vertical="center" wrapText="1"/>
    </xf>
    <xf numFmtId="0" fontId="0" fillId="0" borderId="21" xfId="0" applyFont="1" applyBorder="1" applyAlignment="1">
      <alignment horizontal="center" vertical="center" wrapText="1"/>
    </xf>
    <xf numFmtId="0" fontId="8" fillId="2" borderId="33"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6" fillId="7" borderId="15" xfId="0" applyFont="1" applyFill="1" applyBorder="1" applyAlignment="1">
      <alignment horizontal="center" vertical="center"/>
    </xf>
    <xf numFmtId="0" fontId="6" fillId="7" borderId="16" xfId="0" applyFont="1" applyFill="1" applyBorder="1" applyAlignment="1">
      <alignment horizontal="center" vertical="center"/>
    </xf>
    <xf numFmtId="0" fontId="6" fillId="7" borderId="17" xfId="0" applyFont="1" applyFill="1" applyBorder="1" applyAlignment="1">
      <alignment horizontal="center" vertical="center"/>
    </xf>
    <xf numFmtId="0" fontId="6" fillId="2" borderId="35" xfId="0" applyFont="1" applyFill="1" applyBorder="1" applyAlignment="1">
      <alignment horizontal="center" vertical="center"/>
    </xf>
    <xf numFmtId="0" fontId="6" fillId="2" borderId="34" xfId="0" applyFont="1" applyFill="1" applyBorder="1" applyAlignment="1">
      <alignment horizontal="center" vertical="center"/>
    </xf>
    <xf numFmtId="0" fontId="6" fillId="2" borderId="23" xfId="0" applyFont="1" applyFill="1" applyBorder="1" applyAlignment="1">
      <alignment horizontal="center" vertical="center"/>
    </xf>
    <xf numFmtId="0" fontId="18" fillId="4" borderId="1" xfId="0" applyFont="1" applyFill="1" applyBorder="1" applyAlignment="1">
      <alignment horizontal="left" vertical="top" wrapText="1"/>
    </xf>
    <xf numFmtId="0" fontId="18" fillId="4" borderId="2" xfId="0" applyFont="1" applyFill="1" applyBorder="1" applyAlignment="1">
      <alignment horizontal="left" vertical="top" wrapText="1"/>
    </xf>
    <xf numFmtId="0" fontId="18" fillId="4" borderId="3" xfId="0" applyFont="1" applyFill="1" applyBorder="1" applyAlignment="1">
      <alignment horizontal="left" vertical="top" wrapText="1"/>
    </xf>
    <xf numFmtId="0" fontId="12" fillId="2" borderId="9" xfId="0" applyFont="1" applyFill="1" applyBorder="1" applyAlignment="1">
      <alignment horizontal="center" vertical="center"/>
    </xf>
    <xf numFmtId="0" fontId="12" fillId="2" borderId="7" xfId="0" applyFont="1" applyFill="1" applyBorder="1" applyAlignment="1">
      <alignment horizontal="center" vertical="center"/>
    </xf>
    <xf numFmtId="0" fontId="12" fillId="2" borderId="14" xfId="0" applyFont="1" applyFill="1" applyBorder="1" applyAlignment="1">
      <alignment horizontal="center" vertical="center"/>
    </xf>
    <xf numFmtId="0" fontId="8" fillId="2" borderId="8" xfId="0" applyFont="1" applyFill="1" applyBorder="1" applyAlignment="1">
      <alignment horizontal="center" vertical="center" wrapText="1"/>
    </xf>
    <xf numFmtId="0" fontId="8" fillId="2" borderId="4" xfId="0" applyFont="1" applyFill="1" applyBorder="1" applyAlignment="1">
      <alignment horizontal="center" vertical="center" wrapText="1"/>
    </xf>
    <xf numFmtId="0" fontId="20" fillId="0" borderId="39" xfId="0" applyFont="1" applyBorder="1" applyAlignment="1">
      <alignment horizontal="center" vertical="center"/>
    </xf>
    <xf numFmtId="0" fontId="18" fillId="0" borderId="6" xfId="0" applyFont="1" applyBorder="1" applyAlignment="1">
      <alignment horizontal="center" vertical="center"/>
    </xf>
    <xf numFmtId="0" fontId="18" fillId="0" borderId="7" xfId="0" applyFont="1" applyBorder="1" applyAlignment="1">
      <alignment horizontal="center" vertical="center"/>
    </xf>
    <xf numFmtId="0" fontId="19" fillId="2" borderId="4" xfId="0" applyFont="1" applyFill="1" applyBorder="1" applyAlignment="1">
      <alignment horizontal="center"/>
    </xf>
    <xf numFmtId="0" fontId="18" fillId="0" borderId="24" xfId="0" applyFont="1" applyBorder="1" applyAlignment="1">
      <alignment horizontal="center" vertical="center"/>
    </xf>
    <xf numFmtId="0" fontId="5" fillId="4" borderId="4" xfId="0" applyFont="1" applyFill="1" applyBorder="1" applyAlignment="1">
      <alignment horizontal="center" vertical="center"/>
    </xf>
    <xf numFmtId="0" fontId="5" fillId="4" borderId="11" xfId="0" applyFont="1" applyFill="1" applyBorder="1" applyAlignment="1">
      <alignment horizontal="center" vertical="center"/>
    </xf>
    <xf numFmtId="0" fontId="0" fillId="7" borderId="30" xfId="0" applyFont="1" applyFill="1" applyBorder="1" applyAlignment="1">
      <alignment horizontal="center" vertical="center" wrapText="1"/>
    </xf>
    <xf numFmtId="0" fontId="0" fillId="7" borderId="31" xfId="0" applyFont="1" applyFill="1" applyBorder="1" applyAlignment="1">
      <alignment horizontal="center" vertical="center" wrapText="1"/>
    </xf>
    <xf numFmtId="0" fontId="0" fillId="7" borderId="32" xfId="0" applyFont="1" applyFill="1" applyBorder="1" applyAlignment="1">
      <alignment horizontal="center" vertical="center" wrapText="1"/>
    </xf>
    <xf numFmtId="0" fontId="12" fillId="2" borderId="8" xfId="0" applyFont="1" applyFill="1" applyBorder="1" applyAlignment="1">
      <alignment horizontal="center" vertical="center"/>
    </xf>
    <xf numFmtId="0" fontId="12" fillId="2" borderId="4" xfId="0" applyFont="1" applyFill="1" applyBorder="1" applyAlignment="1">
      <alignment horizontal="center" vertical="center"/>
    </xf>
    <xf numFmtId="0" fontId="12" fillId="2" borderId="11" xfId="0" applyFont="1" applyFill="1" applyBorder="1" applyAlignment="1">
      <alignment horizontal="center" vertical="center"/>
    </xf>
    <xf numFmtId="0" fontId="0" fillId="7" borderId="30" xfId="0" applyFont="1" applyFill="1" applyBorder="1" applyAlignment="1">
      <alignment horizontal="center" vertical="center"/>
    </xf>
    <xf numFmtId="0" fontId="0" fillId="7" borderId="32" xfId="0" applyFont="1" applyFill="1" applyBorder="1" applyAlignment="1">
      <alignment horizontal="center" vertical="center"/>
    </xf>
    <xf numFmtId="0" fontId="12" fillId="2" borderId="35" xfId="0" applyFont="1" applyFill="1" applyBorder="1" applyAlignment="1">
      <alignment horizontal="center" vertical="center"/>
    </xf>
    <xf numFmtId="0" fontId="12" fillId="2" borderId="23" xfId="0" applyFont="1" applyFill="1" applyBorder="1" applyAlignment="1">
      <alignment horizontal="center" vertical="center"/>
    </xf>
    <xf numFmtId="0" fontId="0" fillId="4" borderId="28" xfId="0" applyFont="1" applyFill="1" applyBorder="1" applyAlignment="1">
      <alignment horizontal="center" vertical="center"/>
    </xf>
    <xf numFmtId="0" fontId="0" fillId="4" borderId="22" xfId="0" applyFont="1" applyFill="1" applyBorder="1" applyAlignment="1">
      <alignment horizontal="center" vertical="center"/>
    </xf>
    <xf numFmtId="0" fontId="19" fillId="2" borderId="7" xfId="0" applyFont="1" applyFill="1" applyBorder="1" applyAlignment="1">
      <alignment horizontal="center"/>
    </xf>
    <xf numFmtId="0" fontId="0" fillId="7" borderId="31" xfId="0" applyFont="1" applyFill="1" applyBorder="1" applyAlignment="1">
      <alignment horizontal="center" vertical="center"/>
    </xf>
    <xf numFmtId="0" fontId="6" fillId="2" borderId="35" xfId="0" applyFont="1" applyFill="1" applyBorder="1" applyAlignment="1">
      <alignment horizontal="center" vertical="center" wrapText="1"/>
    </xf>
    <xf numFmtId="0" fontId="6" fillId="2" borderId="5" xfId="0" applyFont="1" applyFill="1" applyBorder="1" applyAlignment="1">
      <alignment horizontal="center" vertical="center" wrapText="1"/>
    </xf>
    <xf numFmtId="0" fontId="6" fillId="2" borderId="24" xfId="0" applyFont="1" applyFill="1" applyBorder="1" applyAlignment="1">
      <alignment horizontal="center" vertical="center" wrapText="1"/>
    </xf>
    <xf numFmtId="0" fontId="6" fillId="2" borderId="23" xfId="0" applyFont="1" applyFill="1" applyBorder="1" applyAlignment="1">
      <alignment horizontal="center" vertical="center" wrapText="1"/>
    </xf>
    <xf numFmtId="0" fontId="19" fillId="4" borderId="1" xfId="0" applyFont="1" applyFill="1" applyBorder="1" applyAlignment="1">
      <alignment horizontal="center" vertical="top" wrapText="1"/>
    </xf>
    <xf numFmtId="0" fontId="19" fillId="4" borderId="3" xfId="0" applyFont="1" applyFill="1" applyBorder="1" applyAlignment="1">
      <alignment horizontal="center" vertical="top" wrapText="1"/>
    </xf>
    <xf numFmtId="0" fontId="12" fillId="2" borderId="30" xfId="0" applyFont="1" applyFill="1" applyBorder="1" applyAlignment="1">
      <alignment horizontal="center" vertical="center"/>
    </xf>
    <xf numFmtId="0" fontId="12" fillId="2" borderId="31" xfId="0" applyFont="1" applyFill="1" applyBorder="1" applyAlignment="1">
      <alignment horizontal="center" vertical="center"/>
    </xf>
    <xf numFmtId="0" fontId="12" fillId="2" borderId="32" xfId="0" applyFont="1" applyFill="1" applyBorder="1" applyAlignment="1">
      <alignment horizontal="center" vertical="center"/>
    </xf>
    <xf numFmtId="0" fontId="25" fillId="0" borderId="11" xfId="1" applyBorder="1" applyAlignment="1">
      <alignment horizontal="center" vertical="center" wrapText="1"/>
    </xf>
    <xf numFmtId="0" fontId="18" fillId="3" borderId="0" xfId="0" applyFont="1" applyFill="1" applyAlignment="1">
      <alignment horizontal="left" wrapText="1"/>
    </xf>
    <xf numFmtId="0" fontId="19" fillId="14" borderId="25" xfId="0" applyFont="1" applyFill="1" applyBorder="1" applyAlignment="1">
      <alignment horizontal="center"/>
    </xf>
    <xf numFmtId="0" fontId="19" fillId="14" borderId="0" xfId="0" applyFont="1" applyFill="1" applyBorder="1" applyAlignment="1">
      <alignment horizontal="center"/>
    </xf>
    <xf numFmtId="0" fontId="6" fillId="7" borderId="15" xfId="0" applyFont="1" applyFill="1" applyBorder="1" applyAlignment="1">
      <alignment horizontal="center" vertical="top" wrapText="1"/>
    </xf>
    <xf numFmtId="0" fontId="6" fillId="7" borderId="16" xfId="0" applyFont="1" applyFill="1" applyBorder="1" applyAlignment="1">
      <alignment horizontal="center" vertical="top" wrapText="1"/>
    </xf>
    <xf numFmtId="0" fontId="6" fillId="7" borderId="17" xfId="0" applyFont="1" applyFill="1" applyBorder="1" applyAlignment="1">
      <alignment horizontal="center" vertical="top" wrapText="1"/>
    </xf>
    <xf numFmtId="0" fontId="11" fillId="2" borderId="15" xfId="0" applyFont="1" applyFill="1" applyBorder="1" applyAlignment="1">
      <alignment horizontal="center" vertical="center"/>
    </xf>
    <xf numFmtId="0" fontId="11" fillId="2" borderId="16" xfId="0" applyFont="1" applyFill="1" applyBorder="1" applyAlignment="1">
      <alignment horizontal="center" vertical="center"/>
    </xf>
    <xf numFmtId="0" fontId="11" fillId="2" borderId="17" xfId="0" applyFont="1" applyFill="1" applyBorder="1" applyAlignment="1">
      <alignment horizontal="center" vertical="center"/>
    </xf>
    <xf numFmtId="0" fontId="2" fillId="7" borderId="37" xfId="0" applyFont="1" applyFill="1" applyBorder="1" applyAlignment="1">
      <alignment horizontal="center" vertical="center" wrapText="1"/>
    </xf>
    <xf numFmtId="0" fontId="2" fillId="7" borderId="29" xfId="0" applyFont="1" applyFill="1" applyBorder="1" applyAlignment="1">
      <alignment horizontal="center" vertical="center" wrapText="1"/>
    </xf>
    <xf numFmtId="0" fontId="2" fillId="7" borderId="38" xfId="0" applyFont="1" applyFill="1" applyBorder="1" applyAlignment="1">
      <alignment horizontal="center" vertical="center" wrapText="1"/>
    </xf>
    <xf numFmtId="0" fontId="5" fillId="0" borderId="4" xfId="0" applyFont="1" applyBorder="1" applyAlignment="1">
      <alignment horizontal="center" vertical="center"/>
    </xf>
    <xf numFmtId="0" fontId="11" fillId="2" borderId="4" xfId="0" applyFont="1" applyFill="1" applyBorder="1" applyAlignment="1">
      <alignment horizontal="center" vertical="center"/>
    </xf>
    <xf numFmtId="0" fontId="0" fillId="7" borderId="8" xfId="0" applyFont="1" applyFill="1" applyBorder="1" applyAlignment="1">
      <alignment horizontal="center" vertical="center" wrapText="1"/>
    </xf>
    <xf numFmtId="0" fontId="0" fillId="7" borderId="4" xfId="0" applyFont="1" applyFill="1" applyBorder="1" applyAlignment="1">
      <alignment horizontal="center" vertical="center" wrapText="1"/>
    </xf>
    <xf numFmtId="0" fontId="0" fillId="7" borderId="11" xfId="0" applyFont="1" applyFill="1" applyBorder="1" applyAlignment="1">
      <alignment horizontal="center" vertical="center" wrapText="1"/>
    </xf>
    <xf numFmtId="0" fontId="0" fillId="7" borderId="12" xfId="0" applyFont="1" applyFill="1" applyBorder="1" applyAlignment="1">
      <alignment horizontal="center" vertical="center" wrapText="1"/>
    </xf>
    <xf numFmtId="0" fontId="0" fillId="7" borderId="10" xfId="0" applyFont="1" applyFill="1" applyBorder="1" applyAlignment="1">
      <alignment horizontal="center" vertical="center" wrapText="1"/>
    </xf>
    <xf numFmtId="0" fontId="0" fillId="7" borderId="13" xfId="0" applyFont="1" applyFill="1" applyBorder="1" applyAlignment="1">
      <alignment horizontal="center" vertical="center" wrapText="1"/>
    </xf>
    <xf numFmtId="0" fontId="6" fillId="2" borderId="30" xfId="0" applyFont="1" applyFill="1" applyBorder="1" applyAlignment="1">
      <alignment horizontal="center"/>
    </xf>
    <xf numFmtId="0" fontId="6" fillId="2" borderId="31" xfId="0" applyFont="1" applyFill="1" applyBorder="1" applyAlignment="1">
      <alignment horizontal="center"/>
    </xf>
    <xf numFmtId="0" fontId="6" fillId="2" borderId="32" xfId="0" applyFont="1" applyFill="1" applyBorder="1" applyAlignment="1">
      <alignment horizontal="center"/>
    </xf>
    <xf numFmtId="0" fontId="12" fillId="2" borderId="15" xfId="0" applyFont="1" applyFill="1" applyBorder="1" applyAlignment="1">
      <alignment horizontal="center" vertical="center"/>
    </xf>
    <xf numFmtId="0" fontId="12" fillId="2" borderId="16" xfId="0" applyFont="1" applyFill="1" applyBorder="1" applyAlignment="1">
      <alignment horizontal="center" vertical="center"/>
    </xf>
    <xf numFmtId="0" fontId="12" fillId="2" borderId="17" xfId="0" applyFont="1" applyFill="1" applyBorder="1" applyAlignment="1">
      <alignment horizontal="center" vertical="center"/>
    </xf>
    <xf numFmtId="0" fontId="28" fillId="9" borderId="51" xfId="0" applyFont="1" applyFill="1" applyBorder="1" applyAlignment="1">
      <alignment horizontal="center" vertical="center" wrapText="1"/>
    </xf>
    <xf numFmtId="0" fontId="28" fillId="9" borderId="0" xfId="0" applyFont="1" applyFill="1" applyBorder="1" applyAlignment="1">
      <alignment horizontal="center" vertical="center" wrapText="1"/>
    </xf>
    <xf numFmtId="0" fontId="30" fillId="10" borderId="0" xfId="3" applyAlignment="1">
      <alignment horizontal="center"/>
    </xf>
    <xf numFmtId="0" fontId="31" fillId="11" borderId="0" xfId="4" applyAlignment="1">
      <alignment horizontal="center"/>
    </xf>
  </cellXfs>
  <cellStyles count="7">
    <cellStyle name="60% - Accent5" xfId="6" builtinId="48"/>
    <cellStyle name="Bad" xfId="5" builtinId="27"/>
    <cellStyle name="Good" xfId="3" builtinId="26"/>
    <cellStyle name="Hyperlink" xfId="1" builtinId="8"/>
    <cellStyle name="Neutral" xfId="4" builtinId="28"/>
    <cellStyle name="Normal" xfId="0" builtinId="0"/>
    <cellStyle name="样式 1" xfId="2" xr:uid="{00000000-0005-0000-0000-000006000000}"/>
  </cellStyles>
  <dxfs count="0"/>
  <tableStyles count="0" defaultTableStyle="TableStyleMedium2" defaultPivotStyle="PivotStyleLight16"/>
  <colors>
    <mruColors>
      <color rgb="FF0099CC"/>
      <color rgb="FF00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61</xdr:row>
          <xdr:rowOff>12700</xdr:rowOff>
        </xdr:from>
        <xdr:to>
          <xdr:col>1</xdr:col>
          <xdr:colOff>12700</xdr:colOff>
          <xdr:row>62</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pitchFamily="2" charset="0"/>
                  <a:cs typeface="Calibri" pitchFamily="2" charset="0"/>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xdr:colOff>
          <xdr:row>3</xdr:row>
          <xdr:rowOff>12700</xdr:rowOff>
        </xdr:from>
        <xdr:to>
          <xdr:col>13</xdr:col>
          <xdr:colOff>1155700</xdr:colOff>
          <xdr:row>3</xdr:row>
          <xdr:rowOff>469900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pitchFamily="2" charset="0"/>
                  <a:cs typeface="Calibri" pitchFamily="2" charset="0"/>
                </a:rPr>
                <a:t>Click to Update Filenames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100130</xdr:colOff>
      <xdr:row>27</xdr:row>
      <xdr:rowOff>10370</xdr:rowOff>
    </xdr:from>
    <xdr:to>
      <xdr:col>5</xdr:col>
      <xdr:colOff>547806</xdr:colOff>
      <xdr:row>36</xdr:row>
      <xdr:rowOff>62047</xdr:rowOff>
    </xdr:to>
    <xdr:pic>
      <xdr:nvPicPr>
        <xdr:cNvPr id="2" name="图片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0130" y="4933404"/>
          <a:ext cx="3786777" cy="1823970"/>
        </a:xfrm>
        <a:prstGeom prst="rect">
          <a:avLst/>
        </a:prstGeom>
      </xdr:spPr>
    </xdr:pic>
    <xdr:clientData/>
  </xdr:twoCellAnchor>
  <xdr:twoCellAnchor editAs="oneCell">
    <xdr:from>
      <xdr:col>0</xdr:col>
      <xdr:colOff>111221</xdr:colOff>
      <xdr:row>11</xdr:row>
      <xdr:rowOff>155318</xdr:rowOff>
    </xdr:from>
    <xdr:to>
      <xdr:col>5</xdr:col>
      <xdr:colOff>561166</xdr:colOff>
      <xdr:row>20</xdr:row>
      <xdr:rowOff>67688</xdr:rowOff>
    </xdr:to>
    <xdr:pic>
      <xdr:nvPicPr>
        <xdr:cNvPr id="3" name="图片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1221" y="1906297"/>
          <a:ext cx="3814094" cy="166334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hyperlink" Target="https://synbiohub.org/user/chenmzh/JHT6demochenmzh/pBW363/1" TargetMode="External"/><Relationship Id="rId3" Type="http://schemas.openxmlformats.org/officeDocument/2006/relationships/hyperlink" Target="https://synbiohub.org/user/chenmzh/JHT6demochenmzh/pLC20/1" TargetMode="External"/><Relationship Id="rId7" Type="http://schemas.openxmlformats.org/officeDocument/2006/relationships/hyperlink" Target="https://synbiohub.org/user/chenmzh/JHT6demochenmzh/pBW339/1" TargetMode="External"/><Relationship Id="rId2" Type="http://schemas.openxmlformats.org/officeDocument/2006/relationships/hyperlink" Target="https://synbiohub.org/user/chenmzh/JHT6demochenmzh/pBW2909/1" TargetMode="External"/><Relationship Id="rId1" Type="http://schemas.openxmlformats.org/officeDocument/2006/relationships/hyperlink" Target="https://synbiohub.org/user/chenmzh/JHT6demochenmzh/pBW586/1" TargetMode="External"/><Relationship Id="rId6" Type="http://schemas.openxmlformats.org/officeDocument/2006/relationships/hyperlink" Target="https://synbiohub.org/user/chenmzh/JHT6demochenmzh/pBW465/1" TargetMode="External"/><Relationship Id="rId11" Type="http://schemas.openxmlformats.org/officeDocument/2006/relationships/printerSettings" Target="../printerSettings/printerSettings3.bin"/><Relationship Id="rId5" Type="http://schemas.openxmlformats.org/officeDocument/2006/relationships/hyperlink" Target="https://synbiohub.org/user/chenmzh/JHT6demochenmzh/pBW2139/1" TargetMode="External"/><Relationship Id="rId10" Type="http://schemas.openxmlformats.org/officeDocument/2006/relationships/hyperlink" Target="https://synbiohub.org/user/chenmzh/JHT6demochenmzh/pBW363/1" TargetMode="External"/><Relationship Id="rId4" Type="http://schemas.openxmlformats.org/officeDocument/2006/relationships/hyperlink" Target="https://synbiohub.org/user/chenmzh/JHT6demochenmzh/pLC41/1" TargetMode="External"/><Relationship Id="rId9" Type="http://schemas.openxmlformats.org/officeDocument/2006/relationships/hyperlink" Target="https://synbiohub.org/user/chenmzh/JHT6demochenmzh/pBW363/1"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synbiohub.org/user/chenmzh/JHT6demochenmzh/pBW363/1" TargetMode="External"/><Relationship Id="rId2" Type="http://schemas.openxmlformats.org/officeDocument/2006/relationships/hyperlink" Target="https://synbiohub.org/user/chenmzh/JHT6demochenmzh/pBW462/1" TargetMode="External"/><Relationship Id="rId1" Type="http://schemas.openxmlformats.org/officeDocument/2006/relationships/hyperlink" Target="https://synbiohub.org/user/chenmzh/JHT6demochenmzh/pBW361/1" TargetMode="External"/><Relationship Id="rId5" Type="http://schemas.openxmlformats.org/officeDocument/2006/relationships/printerSettings" Target="../printerSettings/printerSettings4.bin"/><Relationship Id="rId4" Type="http://schemas.openxmlformats.org/officeDocument/2006/relationships/hyperlink" Target="https://synbiohub.org/user/chenmzh/JHT6demochenmzh/pBW465/1"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www.tetsystems.com/support/a-practical-guide/" TargetMode="External"/><Relationship Id="rId1" Type="http://schemas.openxmlformats.org/officeDocument/2006/relationships/hyperlink" Target="https://www.addgene.org/tetracycline/" TargetMode="Externa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pageSetUpPr autoPageBreaks="0"/>
  </sheetPr>
  <dimension ref="A1:T55"/>
  <sheetViews>
    <sheetView zoomScale="70" zoomScaleNormal="70" workbookViewId="0">
      <selection activeCell="A5" sqref="A5:B5"/>
    </sheetView>
  </sheetViews>
  <sheetFormatPr baseColWidth="10" defaultColWidth="10.83203125" defaultRowHeight="16"/>
  <cols>
    <col min="1" max="1" width="47.83203125" style="44" customWidth="1"/>
    <col min="2" max="2" width="52.5" style="15" customWidth="1"/>
    <col min="3" max="3" width="6.1640625" style="15" bestFit="1" customWidth="1"/>
    <col min="4" max="4" width="12.1640625" style="15" customWidth="1"/>
    <col min="5" max="5" width="11.83203125" style="15" bestFit="1" customWidth="1"/>
    <col min="6" max="6" width="18.5" style="37" customWidth="1"/>
    <col min="7" max="7" width="10.5" style="15" customWidth="1"/>
    <col min="8" max="8" width="12.1640625" style="15" customWidth="1"/>
    <col min="9" max="9" width="20" style="15" customWidth="1"/>
    <col min="10" max="10" width="8.6640625" style="15" customWidth="1"/>
    <col min="11" max="11" width="10.1640625" style="15" bestFit="1" customWidth="1"/>
    <col min="12" max="12" width="21.1640625" style="15" customWidth="1"/>
    <col min="13" max="16384" width="10.83203125" style="15"/>
  </cols>
  <sheetData>
    <row r="1" spans="1:20" ht="20" thickBot="1">
      <c r="A1" s="151" t="s">
        <v>87</v>
      </c>
      <c r="B1" s="152"/>
      <c r="C1" s="152"/>
      <c r="D1" s="152"/>
      <c r="E1" s="152"/>
      <c r="F1" s="152"/>
      <c r="G1" s="152"/>
      <c r="H1" s="152"/>
      <c r="I1" s="152"/>
      <c r="J1" s="152"/>
      <c r="K1" s="153"/>
    </row>
    <row r="2" spans="1:20" ht="17" thickBot="1">
      <c r="B2" s="16"/>
    </row>
    <row r="3" spans="1:20">
      <c r="A3" s="178" t="s">
        <v>58</v>
      </c>
      <c r="B3" s="179"/>
    </row>
    <row r="4" spans="1:20" ht="19">
      <c r="A4" s="180" t="s">
        <v>5</v>
      </c>
      <c r="B4" s="181"/>
    </row>
    <row r="5" spans="1:20" ht="17" thickBot="1">
      <c r="A5" s="182" t="s">
        <v>122</v>
      </c>
      <c r="B5" s="183"/>
    </row>
    <row r="6" spans="1:20" ht="17" thickBot="1">
      <c r="B6" s="16"/>
    </row>
    <row r="7" spans="1:20">
      <c r="A7" s="178" t="s">
        <v>39</v>
      </c>
      <c r="B7" s="185"/>
      <c r="C7" s="185"/>
      <c r="D7" s="185"/>
      <c r="E7" s="185"/>
      <c r="F7" s="185"/>
      <c r="G7" s="185"/>
      <c r="H7" s="185"/>
      <c r="I7" s="185"/>
      <c r="J7" s="185"/>
      <c r="K7" s="179"/>
    </row>
    <row r="8" spans="1:20" ht="19">
      <c r="A8" s="154" t="s">
        <v>239</v>
      </c>
      <c r="B8" s="155"/>
      <c r="C8" s="155"/>
      <c r="D8" s="155"/>
      <c r="E8" s="155"/>
      <c r="F8" s="155"/>
      <c r="G8" s="155"/>
      <c r="H8" s="155"/>
      <c r="I8" s="155"/>
      <c r="J8" s="155"/>
      <c r="K8" s="156"/>
    </row>
    <row r="9" spans="1:20" ht="56.5" customHeight="1">
      <c r="A9" s="157" t="s">
        <v>240</v>
      </c>
      <c r="B9" s="158"/>
      <c r="C9" s="158"/>
      <c r="D9" s="158"/>
      <c r="E9" s="158"/>
      <c r="F9" s="158"/>
      <c r="G9" s="158"/>
      <c r="H9" s="158"/>
      <c r="I9" s="158"/>
      <c r="J9" s="158"/>
      <c r="K9" s="159"/>
    </row>
    <row r="10" spans="1:20" ht="17" thickBot="1">
      <c r="A10" s="45"/>
      <c r="B10" s="17"/>
      <c r="C10" s="17"/>
      <c r="D10" s="17"/>
      <c r="E10" s="17"/>
      <c r="F10" s="38"/>
    </row>
    <row r="11" spans="1:20" ht="18" customHeight="1">
      <c r="A11" s="172" t="s">
        <v>40</v>
      </c>
      <c r="B11" s="173"/>
      <c r="C11" s="173"/>
      <c r="D11" s="174"/>
      <c r="E11" s="17"/>
      <c r="F11" s="38"/>
    </row>
    <row r="12" spans="1:20" ht="19">
      <c r="A12" s="186" t="s">
        <v>13</v>
      </c>
      <c r="B12" s="187"/>
      <c r="C12" s="188" t="s">
        <v>14</v>
      </c>
      <c r="D12" s="189"/>
      <c r="E12" s="17"/>
      <c r="F12" s="38"/>
    </row>
    <row r="13" spans="1:20">
      <c r="A13" s="190" t="s">
        <v>123</v>
      </c>
      <c r="B13" s="191"/>
      <c r="C13" s="190" t="s">
        <v>124</v>
      </c>
      <c r="D13" s="191"/>
      <c r="E13" s="17"/>
      <c r="F13" s="38"/>
    </row>
    <row r="15" spans="1:20" ht="15" customHeight="1">
      <c r="A15" s="184" t="s">
        <v>125</v>
      </c>
      <c r="B15" s="184"/>
      <c r="C15" s="165" t="s">
        <v>126</v>
      </c>
      <c r="D15" s="168" t="s">
        <v>127</v>
      </c>
      <c r="E15" s="168"/>
      <c r="F15" s="165" t="s">
        <v>126</v>
      </c>
      <c r="G15" s="168" t="s">
        <v>128</v>
      </c>
      <c r="H15" s="168"/>
      <c r="I15" s="165" t="s">
        <v>126</v>
      </c>
      <c r="J15" s="168" t="s">
        <v>129</v>
      </c>
      <c r="K15" s="168"/>
      <c r="L15" s="165" t="s">
        <v>126</v>
      </c>
      <c r="M15" s="168" t="s">
        <v>130</v>
      </c>
      <c r="N15" s="168"/>
      <c r="O15" s="165" t="s">
        <v>126</v>
      </c>
      <c r="P15" s="168" t="s">
        <v>131</v>
      </c>
      <c r="Q15" s="168"/>
      <c r="R15" s="165" t="s">
        <v>126</v>
      </c>
      <c r="S15" s="168" t="s">
        <v>132</v>
      </c>
      <c r="T15" s="168"/>
    </row>
    <row r="16" spans="1:20" ht="15.75" customHeight="1">
      <c r="A16" s="64" t="s">
        <v>133</v>
      </c>
      <c r="B16" s="65">
        <v>43252</v>
      </c>
      <c r="C16" s="166"/>
      <c r="D16" s="64" t="s">
        <v>133</v>
      </c>
      <c r="E16" s="65">
        <v>43253</v>
      </c>
      <c r="F16" s="166"/>
      <c r="G16" s="64" t="s">
        <v>133</v>
      </c>
      <c r="H16" s="65">
        <v>43253</v>
      </c>
      <c r="I16" s="166"/>
      <c r="J16" s="64" t="s">
        <v>133</v>
      </c>
      <c r="K16" s="65">
        <v>43253</v>
      </c>
      <c r="L16" s="166"/>
      <c r="M16" s="64" t="s">
        <v>133</v>
      </c>
      <c r="N16" s="65">
        <v>43253</v>
      </c>
      <c r="O16" s="166"/>
      <c r="P16" s="64" t="s">
        <v>133</v>
      </c>
      <c r="Q16" s="65">
        <v>43255</v>
      </c>
      <c r="R16" s="166"/>
      <c r="S16" s="64" t="s">
        <v>133</v>
      </c>
      <c r="T16" s="65">
        <v>43257</v>
      </c>
    </row>
    <row r="17" spans="1:20" ht="15" customHeight="1">
      <c r="A17" s="66" t="s">
        <v>134</v>
      </c>
      <c r="B17" s="67" t="s">
        <v>135</v>
      </c>
      <c r="C17" s="166"/>
      <c r="D17" s="66" t="s">
        <v>134</v>
      </c>
      <c r="E17" s="67">
        <v>0.33333333333333331</v>
      </c>
      <c r="F17" s="166"/>
      <c r="G17" s="66" t="s">
        <v>134</v>
      </c>
      <c r="H17" s="67">
        <v>0.33333333333333331</v>
      </c>
      <c r="I17" s="166"/>
      <c r="J17" s="66" t="s">
        <v>134</v>
      </c>
      <c r="K17" s="68">
        <v>0.60416666666666663</v>
      </c>
      <c r="L17" s="166"/>
      <c r="M17" s="66" t="s">
        <v>134</v>
      </c>
      <c r="N17" s="68">
        <v>0.83333333333333337</v>
      </c>
      <c r="O17" s="166"/>
      <c r="P17" s="66" t="s">
        <v>134</v>
      </c>
      <c r="Q17" s="68">
        <v>0.33333333333333331</v>
      </c>
      <c r="R17" s="166"/>
      <c r="S17" s="66" t="s">
        <v>134</v>
      </c>
      <c r="T17" s="68">
        <v>0.33333333333333331</v>
      </c>
    </row>
    <row r="18" spans="1:20" ht="15.75" customHeight="1">
      <c r="A18" s="69" t="s">
        <v>136</v>
      </c>
      <c r="B18" s="70" t="s">
        <v>137</v>
      </c>
      <c r="C18" s="167"/>
      <c r="D18" s="69" t="s">
        <v>138</v>
      </c>
      <c r="E18" s="70" t="s">
        <v>139</v>
      </c>
      <c r="F18" s="167"/>
      <c r="G18" s="69" t="s">
        <v>138</v>
      </c>
      <c r="H18" s="70" t="s">
        <v>139</v>
      </c>
      <c r="I18" s="169"/>
      <c r="J18" s="66" t="s">
        <v>138</v>
      </c>
      <c r="K18" s="70" t="s">
        <v>140</v>
      </c>
      <c r="L18" s="169"/>
      <c r="M18" s="66" t="s">
        <v>138</v>
      </c>
      <c r="N18" s="70" t="s">
        <v>140</v>
      </c>
      <c r="O18" s="169"/>
      <c r="P18" s="66" t="s">
        <v>138</v>
      </c>
      <c r="Q18" s="70" t="s">
        <v>140</v>
      </c>
      <c r="R18" s="169"/>
      <c r="S18" s="66" t="s">
        <v>138</v>
      </c>
      <c r="T18" s="70" t="s">
        <v>140</v>
      </c>
    </row>
    <row r="19" spans="1:20" ht="17" thickBot="1">
      <c r="A19" s="71"/>
      <c r="B19" s="72"/>
      <c r="C19" s="71"/>
      <c r="D19" s="72"/>
      <c r="E19" s="73"/>
      <c r="F19" s="73"/>
      <c r="G19" s="73"/>
      <c r="H19" s="73"/>
      <c r="I19" s="73"/>
      <c r="J19" s="69" t="s">
        <v>141</v>
      </c>
      <c r="K19" s="70" t="s">
        <v>142</v>
      </c>
      <c r="L19" s="73"/>
      <c r="M19" s="69" t="s">
        <v>141</v>
      </c>
      <c r="N19" s="70" t="s">
        <v>142</v>
      </c>
      <c r="O19" s="73"/>
      <c r="P19" s="69" t="s">
        <v>141</v>
      </c>
      <c r="Q19" s="70" t="s">
        <v>142</v>
      </c>
      <c r="R19" s="73"/>
      <c r="S19" s="69" t="s">
        <v>141</v>
      </c>
      <c r="T19" s="70" t="s">
        <v>142</v>
      </c>
    </row>
    <row r="20" spans="1:20" ht="15.5" customHeight="1">
      <c r="A20" s="172" t="s">
        <v>41</v>
      </c>
      <c r="B20" s="173"/>
      <c r="C20" s="174"/>
      <c r="E20" s="172" t="s">
        <v>57</v>
      </c>
      <c r="F20" s="173"/>
      <c r="G20" s="173"/>
      <c r="H20" s="173"/>
      <c r="I20" s="174"/>
      <c r="J20" s="10"/>
    </row>
    <row r="21" spans="1:20" ht="19">
      <c r="A21" s="175" t="s">
        <v>22</v>
      </c>
      <c r="B21" s="176"/>
      <c r="C21" s="177"/>
      <c r="D21" s="18"/>
      <c r="E21" s="160" t="s">
        <v>16</v>
      </c>
      <c r="F21" s="161"/>
      <c r="G21" s="161"/>
      <c r="H21" s="161"/>
      <c r="I21" s="162"/>
      <c r="J21" s="10"/>
    </row>
    <row r="22" spans="1:20" ht="34">
      <c r="A22" s="46" t="s">
        <v>23</v>
      </c>
      <c r="B22" s="170" t="s">
        <v>143</v>
      </c>
      <c r="C22" s="171"/>
      <c r="E22" s="163" t="s">
        <v>184</v>
      </c>
      <c r="F22" s="164"/>
      <c r="G22" s="12" t="s">
        <v>10</v>
      </c>
      <c r="H22" s="12" t="s">
        <v>11</v>
      </c>
      <c r="I22" s="60" t="s">
        <v>74</v>
      </c>
      <c r="J22" s="10"/>
    </row>
    <row r="23" spans="1:20" ht="15.5" customHeight="1">
      <c r="A23" s="47" t="s">
        <v>37</v>
      </c>
      <c r="B23" s="118" t="s">
        <v>24</v>
      </c>
      <c r="C23" s="19" t="s">
        <v>218</v>
      </c>
      <c r="E23" s="13">
        <v>1</v>
      </c>
      <c r="F23" s="22" t="s">
        <v>144</v>
      </c>
      <c r="G23" s="3" t="s">
        <v>1</v>
      </c>
      <c r="H23" s="3" t="s">
        <v>12</v>
      </c>
      <c r="I23" s="195" t="s">
        <v>185</v>
      </c>
    </row>
    <row r="24" spans="1:20" ht="33" customHeight="1">
      <c r="A24" s="74" t="s">
        <v>45</v>
      </c>
      <c r="B24" s="119">
        <v>100</v>
      </c>
      <c r="C24" s="120" t="s">
        <v>217</v>
      </c>
      <c r="E24" s="13">
        <v>2</v>
      </c>
      <c r="F24" s="22" t="s">
        <v>145</v>
      </c>
      <c r="G24" s="3"/>
      <c r="H24" s="5" t="s">
        <v>146</v>
      </c>
      <c r="I24" s="141"/>
    </row>
    <row r="25" spans="1:20" ht="21.75" customHeight="1">
      <c r="A25" s="74" t="s">
        <v>46</v>
      </c>
      <c r="B25" s="119">
        <v>0</v>
      </c>
      <c r="C25" s="120" t="s">
        <v>217</v>
      </c>
      <c r="E25" s="75">
        <v>3</v>
      </c>
      <c r="F25" s="76" t="s">
        <v>147</v>
      </c>
      <c r="G25" s="77" t="s">
        <v>1</v>
      </c>
      <c r="H25" s="78" t="s">
        <v>148</v>
      </c>
      <c r="I25" s="146"/>
    </row>
    <row r="26" spans="1:20" ht="52" thickBot="1">
      <c r="A26" s="48"/>
      <c r="B26" s="119"/>
      <c r="C26" s="121"/>
      <c r="E26" s="14">
        <v>4</v>
      </c>
      <c r="F26" s="36" t="s">
        <v>149</v>
      </c>
      <c r="G26" s="4" t="s">
        <v>1</v>
      </c>
      <c r="H26" s="79" t="s">
        <v>150</v>
      </c>
      <c r="I26" s="142"/>
    </row>
    <row r="27" spans="1:20" ht="34.5" customHeight="1" thickBot="1">
      <c r="A27" s="49"/>
      <c r="B27" s="122"/>
      <c r="C27" s="123"/>
    </row>
    <row r="28" spans="1:20" ht="20" thickBot="1">
      <c r="A28" s="50"/>
      <c r="B28" s="21"/>
      <c r="C28" s="20"/>
      <c r="E28" s="143" t="s">
        <v>17</v>
      </c>
      <c r="F28" s="144"/>
      <c r="G28" s="144"/>
      <c r="H28" s="144"/>
      <c r="I28" s="145"/>
    </row>
    <row r="29" spans="1:20" ht="34">
      <c r="A29" s="192" t="s">
        <v>26</v>
      </c>
      <c r="B29" s="193"/>
      <c r="C29" s="194"/>
      <c r="E29" s="149" t="s">
        <v>21</v>
      </c>
      <c r="F29" s="150"/>
      <c r="G29" s="11" t="s">
        <v>243</v>
      </c>
      <c r="H29" s="11" t="s">
        <v>11</v>
      </c>
      <c r="I29" s="60" t="s">
        <v>75</v>
      </c>
    </row>
    <row r="30" spans="1:20">
      <c r="A30" s="46" t="s">
        <v>23</v>
      </c>
      <c r="B30" s="170" t="s">
        <v>223</v>
      </c>
      <c r="C30" s="171"/>
      <c r="E30" s="13">
        <v>1</v>
      </c>
      <c r="F30" s="22"/>
      <c r="G30" s="3"/>
      <c r="H30" s="3"/>
      <c r="I30" s="146"/>
    </row>
    <row r="31" spans="1:20">
      <c r="A31" s="47" t="s">
        <v>37</v>
      </c>
      <c r="B31" s="118" t="s">
        <v>24</v>
      </c>
      <c r="C31" s="19" t="s">
        <v>218</v>
      </c>
      <c r="E31" s="13">
        <v>2</v>
      </c>
      <c r="F31" s="22"/>
      <c r="G31" s="3"/>
      <c r="H31" s="5"/>
      <c r="I31" s="147"/>
    </row>
    <row r="32" spans="1:20" ht="17" thickBot="1">
      <c r="A32" s="48" t="s">
        <v>189</v>
      </c>
      <c r="B32" s="119" t="s">
        <v>151</v>
      </c>
      <c r="C32" s="124"/>
      <c r="E32" s="14">
        <v>3</v>
      </c>
      <c r="F32" s="36"/>
      <c r="G32" s="4"/>
      <c r="H32" s="4"/>
      <c r="I32" s="148"/>
    </row>
    <row r="33" spans="1:9">
      <c r="A33" s="48" t="s">
        <v>201</v>
      </c>
      <c r="B33" s="119" t="s">
        <v>152</v>
      </c>
      <c r="C33" s="124"/>
      <c r="E33" s="23"/>
      <c r="F33" s="39"/>
      <c r="G33" s="23"/>
      <c r="H33" s="23"/>
      <c r="I33" s="80"/>
    </row>
    <row r="34" spans="1:9">
      <c r="A34" s="48" t="s">
        <v>208</v>
      </c>
      <c r="B34" s="119" t="s">
        <v>153</v>
      </c>
      <c r="C34" s="124"/>
      <c r="E34" s="23"/>
      <c r="F34" s="39"/>
      <c r="G34" s="23"/>
      <c r="H34" s="23"/>
      <c r="I34" s="80"/>
    </row>
    <row r="35" spans="1:9">
      <c r="A35" s="48" t="s">
        <v>209</v>
      </c>
      <c r="B35" s="119" t="s">
        <v>154</v>
      </c>
      <c r="C35" s="124"/>
      <c r="E35" s="23"/>
      <c r="F35" s="39"/>
      <c r="G35" s="23"/>
      <c r="H35" s="23"/>
      <c r="I35" s="80"/>
    </row>
    <row r="36" spans="1:9" ht="15.5" customHeight="1">
      <c r="A36" s="48" t="s">
        <v>210</v>
      </c>
      <c r="B36" s="125" t="s">
        <v>155</v>
      </c>
      <c r="C36" s="121"/>
      <c r="E36" s="23"/>
      <c r="F36" s="39"/>
      <c r="G36" s="23"/>
      <c r="H36" s="23"/>
      <c r="I36" s="10"/>
    </row>
    <row r="37" spans="1:9" ht="18" thickBot="1">
      <c r="A37" s="48" t="s">
        <v>224</v>
      </c>
      <c r="B37" s="125" t="s">
        <v>156</v>
      </c>
      <c r="C37" s="121"/>
      <c r="I37" s="10"/>
    </row>
    <row r="38" spans="1:9" ht="20" thickBot="1">
      <c r="A38" s="49"/>
      <c r="B38" s="122"/>
      <c r="C38" s="123"/>
      <c r="E38" s="143" t="s">
        <v>18</v>
      </c>
      <c r="F38" s="144"/>
      <c r="G38" s="144"/>
      <c r="H38" s="144"/>
      <c r="I38" s="145"/>
    </row>
    <row r="39" spans="1:9" ht="35" thickBot="1">
      <c r="A39" s="50"/>
      <c r="B39" s="20"/>
      <c r="C39" s="20"/>
      <c r="E39" s="149"/>
      <c r="F39" s="150"/>
      <c r="G39" s="11" t="s">
        <v>10</v>
      </c>
      <c r="H39" s="11" t="s">
        <v>11</v>
      </c>
      <c r="I39" s="60" t="s">
        <v>76</v>
      </c>
    </row>
    <row r="40" spans="1:9" ht="19">
      <c r="A40" s="192" t="s">
        <v>27</v>
      </c>
      <c r="B40" s="193"/>
      <c r="C40" s="194"/>
      <c r="E40" s="13">
        <v>1</v>
      </c>
      <c r="F40" s="22"/>
      <c r="G40" s="3"/>
      <c r="H40" s="5"/>
      <c r="I40" s="141"/>
    </row>
    <row r="41" spans="1:9">
      <c r="A41" s="46" t="s">
        <v>23</v>
      </c>
      <c r="B41" s="170" t="s">
        <v>51</v>
      </c>
      <c r="C41" s="171"/>
      <c r="E41" s="13">
        <v>2</v>
      </c>
      <c r="F41" s="22"/>
      <c r="G41" s="3"/>
      <c r="H41" s="3"/>
      <c r="I41" s="141"/>
    </row>
    <row r="42" spans="1:9">
      <c r="A42" s="47" t="s">
        <v>25</v>
      </c>
      <c r="B42" s="118" t="s">
        <v>24</v>
      </c>
      <c r="C42" s="19" t="s">
        <v>218</v>
      </c>
      <c r="E42" s="13">
        <v>3</v>
      </c>
      <c r="F42" s="22"/>
      <c r="G42" s="3"/>
      <c r="H42" s="5"/>
      <c r="I42" s="141"/>
    </row>
    <row r="43" spans="1:9">
      <c r="A43" s="48">
        <v>6</v>
      </c>
      <c r="B43" s="119" t="s">
        <v>157</v>
      </c>
      <c r="C43" s="128" t="s">
        <v>219</v>
      </c>
      <c r="E43" s="13">
        <v>4</v>
      </c>
      <c r="F43" s="22"/>
      <c r="G43" s="3"/>
      <c r="H43" s="3"/>
      <c r="I43" s="141"/>
    </row>
    <row r="44" spans="1:9">
      <c r="A44" s="48">
        <v>12</v>
      </c>
      <c r="B44" s="119"/>
      <c r="C44" s="128" t="s">
        <v>219</v>
      </c>
      <c r="E44" s="13">
        <v>5</v>
      </c>
      <c r="F44" s="22"/>
      <c r="G44" s="3"/>
      <c r="H44" s="3"/>
      <c r="I44" s="141"/>
    </row>
    <row r="45" spans="1:9" ht="17" thickBot="1">
      <c r="A45" s="48">
        <v>48</v>
      </c>
      <c r="B45" s="119"/>
      <c r="C45" s="128" t="s">
        <v>219</v>
      </c>
      <c r="E45" s="14">
        <v>6</v>
      </c>
      <c r="F45" s="36"/>
      <c r="G45" s="4"/>
      <c r="H45" s="4"/>
      <c r="I45" s="142"/>
    </row>
    <row r="46" spans="1:9" ht="17" thickBot="1">
      <c r="A46" s="49">
        <v>96</v>
      </c>
      <c r="B46" s="122"/>
      <c r="C46" s="129" t="s">
        <v>219</v>
      </c>
    </row>
    <row r="47" spans="1:9" ht="17" thickBot="1">
      <c r="A47" s="51"/>
      <c r="B47" s="31"/>
    </row>
    <row r="48" spans="1:9" ht="19">
      <c r="E48" s="143" t="s">
        <v>19</v>
      </c>
      <c r="F48" s="144"/>
      <c r="G48" s="144"/>
      <c r="H48" s="144"/>
      <c r="I48" s="145"/>
    </row>
    <row r="49" spans="5:9" ht="34">
      <c r="E49" s="149"/>
      <c r="F49" s="150"/>
      <c r="G49" s="11" t="s">
        <v>10</v>
      </c>
      <c r="H49" s="11" t="s">
        <v>11</v>
      </c>
      <c r="I49" s="60" t="s">
        <v>77</v>
      </c>
    </row>
    <row r="50" spans="5:9">
      <c r="E50" s="13">
        <v>1</v>
      </c>
      <c r="F50" s="22"/>
      <c r="G50" s="3"/>
      <c r="H50" s="5"/>
      <c r="I50" s="141"/>
    </row>
    <row r="51" spans="5:9" ht="16" customHeight="1">
      <c r="E51" s="13">
        <v>2</v>
      </c>
      <c r="F51" s="22"/>
      <c r="G51" s="3"/>
      <c r="H51" s="3"/>
      <c r="I51" s="141"/>
    </row>
    <row r="52" spans="5:9">
      <c r="E52" s="13">
        <v>3</v>
      </c>
      <c r="F52" s="22"/>
      <c r="G52" s="3"/>
      <c r="H52" s="5"/>
      <c r="I52" s="141"/>
    </row>
    <row r="53" spans="5:9">
      <c r="E53" s="13">
        <v>4</v>
      </c>
      <c r="F53" s="22"/>
      <c r="G53" s="3"/>
      <c r="H53" s="3"/>
      <c r="I53" s="141"/>
    </row>
    <row r="54" spans="5:9">
      <c r="E54" s="13">
        <v>5</v>
      </c>
      <c r="F54" s="22"/>
      <c r="G54" s="3"/>
      <c r="H54" s="3"/>
      <c r="I54" s="141"/>
    </row>
    <row r="55" spans="5:9" ht="17" thickBot="1">
      <c r="E55" s="14">
        <v>6</v>
      </c>
      <c r="F55" s="36"/>
      <c r="G55" s="4"/>
      <c r="H55" s="4"/>
      <c r="I55" s="142"/>
    </row>
  </sheetData>
  <mergeCells count="45">
    <mergeCell ref="S15:T15"/>
    <mergeCell ref="I23:I26"/>
    <mergeCell ref="L15:L18"/>
    <mergeCell ref="M15:N15"/>
    <mergeCell ref="O15:O18"/>
    <mergeCell ref="P15:Q15"/>
    <mergeCell ref="R15:R18"/>
    <mergeCell ref="A4:B4"/>
    <mergeCell ref="A5:B5"/>
    <mergeCell ref="I40:I45"/>
    <mergeCell ref="E38:I38"/>
    <mergeCell ref="A15:B15"/>
    <mergeCell ref="A7:K7"/>
    <mergeCell ref="A11:D11"/>
    <mergeCell ref="E20:I20"/>
    <mergeCell ref="A12:B12"/>
    <mergeCell ref="C12:D12"/>
    <mergeCell ref="A13:B13"/>
    <mergeCell ref="C13:D13"/>
    <mergeCell ref="A40:C40"/>
    <mergeCell ref="B41:C41"/>
    <mergeCell ref="A29:C29"/>
    <mergeCell ref="B30:C30"/>
    <mergeCell ref="A1:K1"/>
    <mergeCell ref="A8:K8"/>
    <mergeCell ref="A9:K9"/>
    <mergeCell ref="E21:I21"/>
    <mergeCell ref="E28:I28"/>
    <mergeCell ref="E22:F22"/>
    <mergeCell ref="C15:C18"/>
    <mergeCell ref="D15:E15"/>
    <mergeCell ref="F15:F18"/>
    <mergeCell ref="G15:H15"/>
    <mergeCell ref="I15:I18"/>
    <mergeCell ref="J15:K15"/>
    <mergeCell ref="B22:C22"/>
    <mergeCell ref="A20:C20"/>
    <mergeCell ref="A21:C21"/>
    <mergeCell ref="A3:B3"/>
    <mergeCell ref="I50:I55"/>
    <mergeCell ref="E48:I48"/>
    <mergeCell ref="I30:I32"/>
    <mergeCell ref="E49:F49"/>
    <mergeCell ref="E29:F29"/>
    <mergeCell ref="E39:F39"/>
  </mergeCells>
  <phoneticPr fontId="26" type="noConversion"/>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9"/>
  </sheetPr>
  <dimension ref="A1:Q27"/>
  <sheetViews>
    <sheetView workbookViewId="0">
      <selection activeCell="B14" sqref="B14"/>
    </sheetView>
  </sheetViews>
  <sheetFormatPr baseColWidth="10" defaultColWidth="8.83203125" defaultRowHeight="16"/>
  <cols>
    <col min="1" max="1" width="19.83203125" style="140" customWidth="1"/>
    <col min="2" max="2" width="24.33203125" style="140" customWidth="1"/>
    <col min="3" max="16384" width="8.83203125" style="140"/>
  </cols>
  <sheetData>
    <row r="1" spans="1:17">
      <c r="A1" s="197" t="s">
        <v>418</v>
      </c>
      <c r="B1" s="198"/>
      <c r="C1" s="198"/>
      <c r="D1" s="198"/>
      <c r="E1" s="198"/>
      <c r="F1" s="196" t="s">
        <v>419</v>
      </c>
      <c r="G1" s="196"/>
      <c r="H1" s="196"/>
      <c r="I1" s="196"/>
      <c r="J1" s="196"/>
      <c r="K1" s="196"/>
      <c r="L1" s="196"/>
      <c r="M1" s="196"/>
      <c r="N1" s="196"/>
      <c r="O1" s="196"/>
      <c r="P1" s="196"/>
      <c r="Q1" s="196"/>
    </row>
    <row r="2" spans="1:17">
      <c r="A2" s="197" t="s">
        <v>125</v>
      </c>
      <c r="B2" s="198"/>
      <c r="C2" s="198"/>
      <c r="D2" s="198"/>
      <c r="E2" s="198"/>
      <c r="F2" s="196"/>
      <c r="G2" s="196"/>
      <c r="H2" s="196"/>
      <c r="I2" s="196"/>
      <c r="J2" s="196"/>
      <c r="K2" s="196"/>
      <c r="L2" s="196"/>
      <c r="M2" s="196"/>
      <c r="N2" s="196"/>
      <c r="O2" s="196"/>
      <c r="P2" s="196"/>
      <c r="Q2" s="196"/>
    </row>
    <row r="4" spans="1:17">
      <c r="A4" s="140" t="s">
        <v>420</v>
      </c>
    </row>
    <row r="5" spans="1:17">
      <c r="A5" s="140" t="s">
        <v>421</v>
      </c>
    </row>
    <row r="6" spans="1:17" ht="15" customHeight="1">
      <c r="A6" s="140" t="s">
        <v>422</v>
      </c>
    </row>
    <row r="7" spans="1:17">
      <c r="A7" s="140" t="s">
        <v>423</v>
      </c>
    </row>
    <row r="8" spans="1:17">
      <c r="A8" s="140" t="s">
        <v>424</v>
      </c>
    </row>
    <row r="10" spans="1:17">
      <c r="A10" s="197" t="s">
        <v>425</v>
      </c>
      <c r="B10" s="198"/>
      <c r="C10" s="198"/>
      <c r="D10" s="198"/>
      <c r="E10" s="198"/>
    </row>
    <row r="11" spans="1:17">
      <c r="A11" s="197" t="s">
        <v>426</v>
      </c>
      <c r="B11" s="198"/>
      <c r="C11" s="198"/>
      <c r="D11" s="198"/>
      <c r="E11" s="198"/>
    </row>
    <row r="13" spans="1:17">
      <c r="A13" s="140" t="s">
        <v>427</v>
      </c>
    </row>
    <row r="14" spans="1:17">
      <c r="A14" s="140" t="s">
        <v>428</v>
      </c>
    </row>
    <row r="16" spans="1:17">
      <c r="A16" s="197" t="s">
        <v>128</v>
      </c>
      <c r="B16" s="198"/>
      <c r="C16" s="198"/>
      <c r="D16" s="198"/>
      <c r="E16" s="198"/>
    </row>
    <row r="18" spans="1:6">
      <c r="A18" s="140" t="s">
        <v>429</v>
      </c>
    </row>
    <row r="20" spans="1:6">
      <c r="A20" s="197" t="s">
        <v>129</v>
      </c>
      <c r="B20" s="198"/>
      <c r="C20" s="198"/>
      <c r="D20" s="198"/>
      <c r="E20" s="198"/>
      <c r="F20" s="140" t="s">
        <v>430</v>
      </c>
    </row>
    <row r="22" spans="1:6">
      <c r="A22" s="140" t="s">
        <v>431</v>
      </c>
    </row>
    <row r="23" spans="1:6">
      <c r="A23" s="140" t="s">
        <v>432</v>
      </c>
    </row>
    <row r="24" spans="1:6">
      <c r="A24" s="140" t="s">
        <v>433</v>
      </c>
    </row>
    <row r="25" spans="1:6">
      <c r="A25" s="140" t="s">
        <v>434</v>
      </c>
    </row>
    <row r="26" spans="1:6">
      <c r="A26" s="140" t="s">
        <v>435</v>
      </c>
    </row>
    <row r="27" spans="1:6">
      <c r="A27" s="140" t="s">
        <v>436</v>
      </c>
    </row>
  </sheetData>
  <mergeCells count="7">
    <mergeCell ref="F1:Q2"/>
    <mergeCell ref="A11:E11"/>
    <mergeCell ref="A16:E16"/>
    <mergeCell ref="A20:E20"/>
    <mergeCell ref="A10:E10"/>
    <mergeCell ref="A1:E1"/>
    <mergeCell ref="A2:E2"/>
  </mergeCells>
  <phoneticPr fontId="26"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9"/>
    <pageSetUpPr autoPageBreaks="0"/>
  </sheetPr>
  <dimension ref="A1:O106"/>
  <sheetViews>
    <sheetView topLeftCell="A75" zoomScale="98" zoomScaleNormal="98" workbookViewId="0">
      <selection activeCell="B5" sqref="B5"/>
    </sheetView>
  </sheetViews>
  <sheetFormatPr baseColWidth="10" defaultColWidth="11" defaultRowHeight="16"/>
  <cols>
    <col min="1" max="1" width="20" customWidth="1"/>
    <col min="2" max="2" width="42.33203125" customWidth="1"/>
    <col min="3" max="3" width="13.83203125" customWidth="1"/>
    <col min="4" max="4" width="18.1640625" customWidth="1"/>
    <col min="5" max="5" width="16" customWidth="1"/>
    <col min="6" max="6" width="15.1640625" customWidth="1"/>
    <col min="7" max="7" width="15" customWidth="1"/>
    <col min="8" max="8" width="14.1640625" customWidth="1"/>
    <col min="9" max="9" width="14.83203125" customWidth="1"/>
    <col min="10" max="10" width="14.1640625" customWidth="1"/>
    <col min="11" max="11" width="16.33203125" customWidth="1"/>
    <col min="12" max="12" width="14.5" customWidth="1"/>
    <col min="13" max="13" width="15.1640625" customWidth="1"/>
    <col min="14" max="14" width="14.1640625" customWidth="1"/>
    <col min="15" max="15" width="34.6640625" customWidth="1"/>
    <col min="16" max="16" width="17.5" customWidth="1"/>
  </cols>
  <sheetData>
    <row r="1" spans="1:15" s="1" customFormat="1" ht="39.75" customHeight="1" thickBot="1">
      <c r="A1" s="199" t="s">
        <v>88</v>
      </c>
      <c r="B1" s="200"/>
      <c r="C1" s="200"/>
      <c r="D1" s="200"/>
      <c r="E1" s="200"/>
      <c r="F1" s="200"/>
      <c r="G1" s="200"/>
      <c r="H1" s="200"/>
      <c r="I1" s="200"/>
      <c r="J1" s="201"/>
    </row>
    <row r="2" spans="1:15" s="1" customFormat="1" ht="16.5" customHeight="1" thickBot="1">
      <c r="A2" s="202" t="s">
        <v>28</v>
      </c>
      <c r="B2" s="203"/>
      <c r="C2" s="203"/>
      <c r="D2" s="203"/>
      <c r="E2" s="203"/>
      <c r="F2" s="203"/>
      <c r="G2" s="203"/>
      <c r="H2" s="203"/>
      <c r="I2" s="203"/>
      <c r="J2" s="204"/>
      <c r="K2" s="9"/>
      <c r="L2" s="9"/>
      <c r="M2" s="6"/>
      <c r="N2" s="7"/>
      <c r="O2" s="7"/>
    </row>
    <row r="3" spans="1:15" s="1" customFormat="1" ht="72" customHeight="1">
      <c r="A3" s="55" t="s">
        <v>30</v>
      </c>
      <c r="B3" s="92" t="s">
        <v>59</v>
      </c>
      <c r="C3" s="205" t="s">
        <v>47</v>
      </c>
      <c r="D3" s="206"/>
      <c r="E3" s="206"/>
      <c r="F3" s="206"/>
      <c r="G3" s="207"/>
      <c r="H3" s="92" t="s">
        <v>60</v>
      </c>
      <c r="I3" s="92" t="s">
        <v>61</v>
      </c>
      <c r="J3" s="92" t="s">
        <v>61</v>
      </c>
      <c r="K3" s="92" t="s">
        <v>61</v>
      </c>
      <c r="L3" s="96" t="s">
        <v>62</v>
      </c>
      <c r="M3" s="94"/>
      <c r="N3" s="7"/>
      <c r="O3" s="7"/>
    </row>
    <row r="4" spans="1:15" s="1" customFormat="1" ht="60">
      <c r="A4" s="34" t="s">
        <v>0</v>
      </c>
      <c r="B4" s="35" t="s">
        <v>2</v>
      </c>
      <c r="C4" s="35" t="s">
        <v>200</v>
      </c>
      <c r="D4" s="35" t="s">
        <v>143</v>
      </c>
      <c r="E4" s="35" t="s">
        <v>51</v>
      </c>
      <c r="F4" s="35"/>
      <c r="G4" s="35" t="s">
        <v>46</v>
      </c>
      <c r="H4" s="35" t="s">
        <v>20</v>
      </c>
      <c r="I4" s="35" t="s">
        <v>144</v>
      </c>
      <c r="J4" s="35" t="s">
        <v>147</v>
      </c>
      <c r="K4" s="35" t="s">
        <v>149</v>
      </c>
      <c r="L4" s="93" t="s">
        <v>4</v>
      </c>
      <c r="M4" s="95"/>
      <c r="O4" s="7"/>
    </row>
    <row r="5" spans="1:15" s="1" customFormat="1" ht="17">
      <c r="A5" s="25">
        <v>1</v>
      </c>
      <c r="B5" s="104" t="str">
        <f>CONCATENATE("Code_",C5,"_Dox_",D5,"_Hr_",E5,)</f>
        <v>Code_1:DNA X_Dox_-_Hr_6</v>
      </c>
      <c r="C5" s="26" t="s">
        <v>189</v>
      </c>
      <c r="D5" s="26" t="s">
        <v>46</v>
      </c>
      <c r="E5" s="82">
        <v>6</v>
      </c>
      <c r="F5" s="26"/>
      <c r="G5" s="26"/>
      <c r="H5" s="27">
        <v>1</v>
      </c>
      <c r="I5" s="27" t="s">
        <v>122</v>
      </c>
      <c r="J5" s="27" t="s">
        <v>48</v>
      </c>
      <c r="K5" s="28" t="s">
        <v>158</v>
      </c>
      <c r="L5" s="29"/>
    </row>
    <row r="6" spans="1:15" s="1" customFormat="1" ht="17">
      <c r="A6" s="25">
        <v>2</v>
      </c>
      <c r="B6" s="127" t="str">
        <f t="shared" ref="B6:B40" si="0">CONCATENATE("Code_",C6,"_Dox_",D6,"_Hr_",E6,)</f>
        <v>Code_2:DNA A_Dox_-_Hr_6</v>
      </c>
      <c r="C6" s="26" t="s">
        <v>201</v>
      </c>
      <c r="D6" s="26" t="s">
        <v>46</v>
      </c>
      <c r="E6" s="82">
        <v>6</v>
      </c>
      <c r="F6" s="26"/>
      <c r="G6" s="26"/>
      <c r="H6" s="27">
        <v>1</v>
      </c>
      <c r="I6" s="27" t="s">
        <v>122</v>
      </c>
      <c r="J6" s="27" t="s">
        <v>48</v>
      </c>
      <c r="K6" s="28" t="s">
        <v>159</v>
      </c>
      <c r="L6" s="29"/>
    </row>
    <row r="7" spans="1:15" s="1" customFormat="1" ht="17">
      <c r="A7" s="25">
        <v>3</v>
      </c>
      <c r="B7" s="127" t="str">
        <f t="shared" si="0"/>
        <v>Code_3:DNA B_Dox_-_Hr_6</v>
      </c>
      <c r="C7" s="26" t="s">
        <v>208</v>
      </c>
      <c r="D7" s="26" t="s">
        <v>46</v>
      </c>
      <c r="E7" s="82">
        <v>6</v>
      </c>
      <c r="F7" s="26"/>
      <c r="G7" s="26"/>
      <c r="H7" s="27">
        <v>1</v>
      </c>
      <c r="I7" s="27" t="s">
        <v>122</v>
      </c>
      <c r="J7" s="27" t="s">
        <v>48</v>
      </c>
      <c r="K7" s="28" t="s">
        <v>160</v>
      </c>
      <c r="L7" s="29"/>
    </row>
    <row r="8" spans="1:15" s="1" customFormat="1" ht="17">
      <c r="A8" s="25">
        <v>4</v>
      </c>
      <c r="B8" s="127" t="str">
        <f t="shared" si="0"/>
        <v>Code_4:DNA C_Dox_-_Hr_6</v>
      </c>
      <c r="C8" s="26" t="s">
        <v>209</v>
      </c>
      <c r="D8" s="26" t="s">
        <v>46</v>
      </c>
      <c r="E8" s="82">
        <v>6</v>
      </c>
      <c r="F8" s="26"/>
      <c r="G8" s="26"/>
      <c r="H8" s="27">
        <v>1</v>
      </c>
      <c r="I8" s="27" t="s">
        <v>122</v>
      </c>
      <c r="J8" s="27" t="s">
        <v>48</v>
      </c>
      <c r="K8" s="28" t="s">
        <v>161</v>
      </c>
      <c r="L8" s="29"/>
    </row>
    <row r="9" spans="1:15" s="1" customFormat="1" ht="17">
      <c r="A9" s="25">
        <v>5</v>
      </c>
      <c r="B9" s="127" t="str">
        <f t="shared" si="0"/>
        <v>Code_5:DNA D_Dox_-_Hr_6</v>
      </c>
      <c r="C9" s="26" t="s">
        <v>210</v>
      </c>
      <c r="D9" s="26" t="s">
        <v>46</v>
      </c>
      <c r="E9" s="82">
        <v>6</v>
      </c>
      <c r="F9" s="26"/>
      <c r="G9" s="26"/>
      <c r="H9" s="27">
        <v>1</v>
      </c>
      <c r="I9" s="27" t="s">
        <v>122</v>
      </c>
      <c r="J9" s="27" t="s">
        <v>48</v>
      </c>
      <c r="K9" s="28" t="s">
        <v>162</v>
      </c>
      <c r="L9" s="29"/>
    </row>
    <row r="10" spans="1:15" s="1" customFormat="1" ht="17">
      <c r="A10" s="25">
        <v>6</v>
      </c>
      <c r="B10" s="127" t="str">
        <f t="shared" si="0"/>
        <v>Code_1:DNA X_Dox_+_Hr_6</v>
      </c>
      <c r="C10" s="26" t="s">
        <v>189</v>
      </c>
      <c r="D10" s="26" t="s">
        <v>45</v>
      </c>
      <c r="E10" s="82">
        <v>6</v>
      </c>
      <c r="F10" s="26"/>
      <c r="G10" s="26"/>
      <c r="H10" s="27">
        <v>1</v>
      </c>
      <c r="I10" s="27" t="s">
        <v>122</v>
      </c>
      <c r="J10" s="27" t="s">
        <v>48</v>
      </c>
      <c r="K10" s="28" t="s">
        <v>163</v>
      </c>
      <c r="L10" s="29"/>
    </row>
    <row r="11" spans="1:15" s="1" customFormat="1" ht="17">
      <c r="A11" s="25">
        <v>7</v>
      </c>
      <c r="B11" s="127" t="str">
        <f t="shared" si="0"/>
        <v>Code_2:DNA A_Dox_+_Hr_6</v>
      </c>
      <c r="C11" s="26" t="s">
        <v>201</v>
      </c>
      <c r="D11" s="26" t="s">
        <v>45</v>
      </c>
      <c r="E11" s="82">
        <v>6</v>
      </c>
      <c r="F11" s="26"/>
      <c r="G11" s="26"/>
      <c r="H11" s="27">
        <v>1</v>
      </c>
      <c r="I11" s="27" t="s">
        <v>122</v>
      </c>
      <c r="J11" s="27" t="s">
        <v>48</v>
      </c>
      <c r="K11" s="28" t="s">
        <v>164</v>
      </c>
      <c r="L11" s="29"/>
    </row>
    <row r="12" spans="1:15" s="1" customFormat="1" ht="17">
      <c r="A12" s="25">
        <v>8</v>
      </c>
      <c r="B12" s="127" t="str">
        <f t="shared" si="0"/>
        <v>Code_3:DNA B_Dox_+_Hr_6</v>
      </c>
      <c r="C12" s="26" t="s">
        <v>208</v>
      </c>
      <c r="D12" s="26" t="s">
        <v>45</v>
      </c>
      <c r="E12" s="82">
        <v>6</v>
      </c>
      <c r="F12" s="26"/>
      <c r="G12" s="26"/>
      <c r="H12" s="27">
        <v>1</v>
      </c>
      <c r="I12" s="27" t="s">
        <v>122</v>
      </c>
      <c r="J12" s="27" t="s">
        <v>48</v>
      </c>
      <c r="K12" s="28" t="s">
        <v>165</v>
      </c>
      <c r="L12" s="29"/>
    </row>
    <row r="13" spans="1:15" s="1" customFormat="1" ht="17">
      <c r="A13" s="25">
        <v>9</v>
      </c>
      <c r="B13" s="127" t="str">
        <f t="shared" si="0"/>
        <v>Code_4:DNA C_Dox_+_Hr_6</v>
      </c>
      <c r="C13" s="26" t="s">
        <v>209</v>
      </c>
      <c r="D13" s="26" t="s">
        <v>45</v>
      </c>
      <c r="E13" s="82">
        <v>6</v>
      </c>
      <c r="F13" s="26"/>
      <c r="G13" s="26"/>
      <c r="H13" s="27">
        <v>1</v>
      </c>
      <c r="I13" s="27" t="s">
        <v>122</v>
      </c>
      <c r="J13" s="27" t="s">
        <v>166</v>
      </c>
      <c r="K13" s="28" t="s">
        <v>167</v>
      </c>
      <c r="L13" s="29"/>
    </row>
    <row r="14" spans="1:15" s="1" customFormat="1" ht="17">
      <c r="A14" s="25">
        <v>10</v>
      </c>
      <c r="B14" s="127" t="str">
        <f t="shared" si="0"/>
        <v>Code_5:DNA D_Dox_+_Hr_6</v>
      </c>
      <c r="C14" s="26" t="s">
        <v>210</v>
      </c>
      <c r="D14" s="26" t="s">
        <v>45</v>
      </c>
      <c r="E14" s="82">
        <v>6</v>
      </c>
      <c r="F14" s="26"/>
      <c r="G14" s="26"/>
      <c r="H14" s="27">
        <v>1</v>
      </c>
      <c r="I14" s="27" t="s">
        <v>122</v>
      </c>
      <c r="J14" s="27" t="s">
        <v>166</v>
      </c>
      <c r="K14" s="28" t="s">
        <v>168</v>
      </c>
      <c r="L14" s="29"/>
    </row>
    <row r="15" spans="1:15" s="1" customFormat="1" ht="17">
      <c r="A15" s="25">
        <v>11</v>
      </c>
      <c r="B15" s="127" t="str">
        <f t="shared" si="0"/>
        <v>Code_6:DNA E_Dox_+_Hr_6</v>
      </c>
      <c r="C15" s="26" t="s">
        <v>211</v>
      </c>
      <c r="D15" s="26" t="s">
        <v>45</v>
      </c>
      <c r="E15" s="82">
        <v>6</v>
      </c>
      <c r="F15" s="26"/>
      <c r="G15" s="26"/>
      <c r="H15" s="27">
        <v>1</v>
      </c>
      <c r="I15" s="27" t="s">
        <v>122</v>
      </c>
      <c r="J15" s="27" t="s">
        <v>169</v>
      </c>
      <c r="K15" s="28" t="s">
        <v>170</v>
      </c>
      <c r="L15" s="29"/>
    </row>
    <row r="16" spans="1:15" s="1" customFormat="1" ht="17">
      <c r="A16" s="25">
        <v>12</v>
      </c>
      <c r="B16" s="127" t="str">
        <f t="shared" si="0"/>
        <v>Code_6:DNA E_Dox_-_Hr_6</v>
      </c>
      <c r="C16" s="26" t="s">
        <v>211</v>
      </c>
      <c r="D16" s="26" t="s">
        <v>46</v>
      </c>
      <c r="E16" s="82">
        <v>6</v>
      </c>
      <c r="F16" s="26"/>
      <c r="G16" s="26"/>
      <c r="H16" s="27">
        <v>1</v>
      </c>
      <c r="I16" s="27" t="s">
        <v>122</v>
      </c>
      <c r="J16" s="27" t="s">
        <v>169</v>
      </c>
      <c r="K16" s="28" t="s">
        <v>186</v>
      </c>
      <c r="L16" s="29"/>
    </row>
    <row r="17" spans="1:12" s="1" customFormat="1" ht="17">
      <c r="A17" s="25">
        <v>13</v>
      </c>
      <c r="B17" s="127" t="str">
        <f t="shared" si="0"/>
        <v>Code_1:DNA X_Dox_-_Hr_12</v>
      </c>
      <c r="C17" s="26" t="s">
        <v>189</v>
      </c>
      <c r="D17" s="26" t="s">
        <v>46</v>
      </c>
      <c r="E17" s="82">
        <v>12</v>
      </c>
      <c r="F17" s="26"/>
      <c r="G17" s="26"/>
      <c r="H17" s="27">
        <v>1</v>
      </c>
      <c r="I17" s="27" t="s">
        <v>171</v>
      </c>
      <c r="J17" s="27" t="s">
        <v>48</v>
      </c>
      <c r="K17" s="28" t="s">
        <v>158</v>
      </c>
      <c r="L17" s="29"/>
    </row>
    <row r="18" spans="1:12" s="1" customFormat="1" ht="17">
      <c r="A18" s="25">
        <v>14</v>
      </c>
      <c r="B18" s="127" t="str">
        <f t="shared" si="0"/>
        <v>Code_2:DNA A_Dox_-_Hr_12</v>
      </c>
      <c r="C18" s="26" t="s">
        <v>201</v>
      </c>
      <c r="D18" s="26" t="s">
        <v>46</v>
      </c>
      <c r="E18" s="82">
        <v>12</v>
      </c>
      <c r="F18" s="26"/>
      <c r="G18" s="26"/>
      <c r="H18" s="27">
        <v>1</v>
      </c>
      <c r="I18" s="27" t="s">
        <v>171</v>
      </c>
      <c r="J18" s="27" t="s">
        <v>48</v>
      </c>
      <c r="K18" s="28" t="s">
        <v>159</v>
      </c>
      <c r="L18" s="29"/>
    </row>
    <row r="19" spans="1:12" s="1" customFormat="1" ht="17">
      <c r="A19" s="25">
        <v>15</v>
      </c>
      <c r="B19" s="127" t="str">
        <f t="shared" si="0"/>
        <v>Code_3:DNA B_Dox_-_Hr_12</v>
      </c>
      <c r="C19" s="26" t="s">
        <v>208</v>
      </c>
      <c r="D19" s="26" t="s">
        <v>46</v>
      </c>
      <c r="E19" s="82">
        <v>12</v>
      </c>
      <c r="F19" s="26"/>
      <c r="G19" s="26"/>
      <c r="H19" s="27">
        <v>1</v>
      </c>
      <c r="I19" s="27" t="s">
        <v>171</v>
      </c>
      <c r="J19" s="27" t="s">
        <v>48</v>
      </c>
      <c r="K19" s="28" t="s">
        <v>160</v>
      </c>
      <c r="L19" s="29"/>
    </row>
    <row r="20" spans="1:12" s="1" customFormat="1" ht="17">
      <c r="A20" s="25">
        <v>16</v>
      </c>
      <c r="B20" s="127" t="str">
        <f t="shared" si="0"/>
        <v>Code_4:DNA C_Dox_-_Hr_12</v>
      </c>
      <c r="C20" s="26" t="s">
        <v>209</v>
      </c>
      <c r="D20" s="26" t="s">
        <v>46</v>
      </c>
      <c r="E20" s="82">
        <v>12</v>
      </c>
      <c r="F20" s="26"/>
      <c r="G20" s="26"/>
      <c r="H20" s="27">
        <v>1</v>
      </c>
      <c r="I20" s="27" t="s">
        <v>171</v>
      </c>
      <c r="J20" s="27" t="s">
        <v>48</v>
      </c>
      <c r="K20" s="28" t="s">
        <v>161</v>
      </c>
      <c r="L20" s="29"/>
    </row>
    <row r="21" spans="1:12" s="1" customFormat="1" ht="17">
      <c r="A21" s="25">
        <v>17</v>
      </c>
      <c r="B21" s="127" t="str">
        <f t="shared" si="0"/>
        <v>Code_5:DNA D_Dox_-_Hr_12</v>
      </c>
      <c r="C21" s="26" t="s">
        <v>210</v>
      </c>
      <c r="D21" s="26" t="s">
        <v>46</v>
      </c>
      <c r="E21" s="82">
        <v>12</v>
      </c>
      <c r="F21" s="26"/>
      <c r="G21" s="26"/>
      <c r="H21" s="27">
        <v>1</v>
      </c>
      <c r="I21" s="27" t="s">
        <v>171</v>
      </c>
      <c r="J21" s="27" t="s">
        <v>48</v>
      </c>
      <c r="K21" s="28" t="s">
        <v>162</v>
      </c>
      <c r="L21" s="29"/>
    </row>
    <row r="22" spans="1:12" s="1" customFormat="1" ht="17">
      <c r="A22" s="25">
        <v>18</v>
      </c>
      <c r="B22" s="127" t="str">
        <f t="shared" si="0"/>
        <v>Code_1:DNA X_Dox_+_Hr_12</v>
      </c>
      <c r="C22" s="26" t="s">
        <v>189</v>
      </c>
      <c r="D22" s="26" t="s">
        <v>45</v>
      </c>
      <c r="E22" s="82">
        <v>12</v>
      </c>
      <c r="F22" s="26"/>
      <c r="G22" s="26"/>
      <c r="H22" s="27">
        <v>1</v>
      </c>
      <c r="I22" s="27" t="s">
        <v>171</v>
      </c>
      <c r="J22" s="27" t="s">
        <v>48</v>
      </c>
      <c r="K22" s="28" t="s">
        <v>163</v>
      </c>
      <c r="L22" s="29"/>
    </row>
    <row r="23" spans="1:12" s="1" customFormat="1" ht="17">
      <c r="A23" s="25">
        <v>19</v>
      </c>
      <c r="B23" s="127" t="str">
        <f t="shared" si="0"/>
        <v>Code_2:DNA A_Dox_+_Hr_12</v>
      </c>
      <c r="C23" s="26" t="s">
        <v>201</v>
      </c>
      <c r="D23" s="26" t="s">
        <v>45</v>
      </c>
      <c r="E23" s="82">
        <v>12</v>
      </c>
      <c r="F23" s="26"/>
      <c r="G23" s="26"/>
      <c r="H23" s="27">
        <v>1</v>
      </c>
      <c r="I23" s="27" t="s">
        <v>171</v>
      </c>
      <c r="J23" s="27" t="s">
        <v>48</v>
      </c>
      <c r="K23" s="28" t="s">
        <v>164</v>
      </c>
      <c r="L23" s="29"/>
    </row>
    <row r="24" spans="1:12" s="1" customFormat="1" ht="17">
      <c r="A24" s="25">
        <v>20</v>
      </c>
      <c r="B24" s="127" t="str">
        <f t="shared" si="0"/>
        <v>Code_3:DNA B_Dox_+_Hr_12</v>
      </c>
      <c r="C24" s="26" t="s">
        <v>208</v>
      </c>
      <c r="D24" s="26" t="s">
        <v>45</v>
      </c>
      <c r="E24" s="82">
        <v>12</v>
      </c>
      <c r="F24" s="26"/>
      <c r="G24" s="26"/>
      <c r="H24" s="27">
        <v>1</v>
      </c>
      <c r="I24" s="27" t="s">
        <v>171</v>
      </c>
      <c r="J24" s="27" t="s">
        <v>48</v>
      </c>
      <c r="K24" s="28" t="s">
        <v>165</v>
      </c>
      <c r="L24" s="29"/>
    </row>
    <row r="25" spans="1:12" s="1" customFormat="1" ht="17">
      <c r="A25" s="25">
        <v>21</v>
      </c>
      <c r="B25" s="127" t="str">
        <f t="shared" si="0"/>
        <v>Code_4:DNA C_Dox_+_Hr_12</v>
      </c>
      <c r="C25" s="26" t="s">
        <v>209</v>
      </c>
      <c r="D25" s="26" t="s">
        <v>45</v>
      </c>
      <c r="E25" s="82">
        <v>12</v>
      </c>
      <c r="F25" s="26"/>
      <c r="G25" s="26"/>
      <c r="H25" s="27">
        <v>1</v>
      </c>
      <c r="I25" s="27" t="s">
        <v>171</v>
      </c>
      <c r="J25" s="27" t="s">
        <v>166</v>
      </c>
      <c r="K25" s="28" t="s">
        <v>167</v>
      </c>
      <c r="L25" s="29"/>
    </row>
    <row r="26" spans="1:12" s="1" customFormat="1" ht="17">
      <c r="A26" s="25">
        <v>22</v>
      </c>
      <c r="B26" s="127" t="str">
        <f t="shared" si="0"/>
        <v>Code_5:DNA D_Dox_+_Hr_12</v>
      </c>
      <c r="C26" s="26" t="s">
        <v>210</v>
      </c>
      <c r="D26" s="26" t="s">
        <v>45</v>
      </c>
      <c r="E26" s="82">
        <v>12</v>
      </c>
      <c r="F26" s="26"/>
      <c r="G26" s="26"/>
      <c r="H26" s="27">
        <v>1</v>
      </c>
      <c r="I26" s="27" t="s">
        <v>171</v>
      </c>
      <c r="J26" s="27" t="s">
        <v>166</v>
      </c>
      <c r="K26" s="28" t="s">
        <v>168</v>
      </c>
      <c r="L26" s="29"/>
    </row>
    <row r="27" spans="1:12" s="1" customFormat="1" ht="17">
      <c r="A27" s="25">
        <v>23</v>
      </c>
      <c r="B27" s="127" t="str">
        <f t="shared" si="0"/>
        <v>Code_6:DNA E_Dox_-_Hr_12</v>
      </c>
      <c r="C27" s="26" t="s">
        <v>211</v>
      </c>
      <c r="D27" s="26" t="s">
        <v>46</v>
      </c>
      <c r="E27" s="82">
        <v>12</v>
      </c>
      <c r="F27" s="26"/>
      <c r="G27" s="26"/>
      <c r="H27" s="27">
        <v>1</v>
      </c>
      <c r="I27" s="27" t="s">
        <v>171</v>
      </c>
      <c r="J27" s="27" t="s">
        <v>169</v>
      </c>
      <c r="K27" s="28" t="s">
        <v>170</v>
      </c>
      <c r="L27" s="29"/>
    </row>
    <row r="28" spans="1:12" s="1" customFormat="1" ht="17">
      <c r="A28" s="25">
        <v>24</v>
      </c>
      <c r="B28" s="127" t="str">
        <f t="shared" si="0"/>
        <v>Code_6:DNA E_Dox_+_Hr_12</v>
      </c>
      <c r="C28" s="26" t="s">
        <v>211</v>
      </c>
      <c r="D28" s="26" t="s">
        <v>45</v>
      </c>
      <c r="E28" s="82">
        <v>12</v>
      </c>
      <c r="F28" s="26"/>
      <c r="G28" s="26"/>
      <c r="H28" s="27">
        <v>1</v>
      </c>
      <c r="I28" s="27" t="s">
        <v>171</v>
      </c>
      <c r="J28" s="27" t="s">
        <v>169</v>
      </c>
      <c r="K28" s="28" t="s">
        <v>186</v>
      </c>
      <c r="L28" s="29"/>
    </row>
    <row r="29" spans="1:12" s="1" customFormat="1" ht="17">
      <c r="A29" s="25">
        <v>25</v>
      </c>
      <c r="B29" s="127" t="str">
        <f t="shared" si="0"/>
        <v>Code_1:DNA X_Dox_-_Hr_48</v>
      </c>
      <c r="C29" s="26" t="s">
        <v>189</v>
      </c>
      <c r="D29" s="26" t="s">
        <v>46</v>
      </c>
      <c r="E29" s="82">
        <v>48</v>
      </c>
      <c r="F29" s="26"/>
      <c r="G29" s="26"/>
      <c r="H29" s="27">
        <v>1</v>
      </c>
      <c r="I29" s="27" t="s">
        <v>172</v>
      </c>
      <c r="J29" s="27" t="s">
        <v>48</v>
      </c>
      <c r="K29" s="28" t="s">
        <v>158</v>
      </c>
      <c r="L29" s="29"/>
    </row>
    <row r="30" spans="1:12" s="1" customFormat="1" ht="17">
      <c r="A30" s="25">
        <v>26</v>
      </c>
      <c r="B30" s="127" t="str">
        <f t="shared" si="0"/>
        <v>Code_2:DNA A_Dox_-_Hr_48</v>
      </c>
      <c r="C30" s="26" t="s">
        <v>201</v>
      </c>
      <c r="D30" s="26" t="s">
        <v>46</v>
      </c>
      <c r="E30" s="82">
        <v>48</v>
      </c>
      <c r="F30" s="26"/>
      <c r="G30" s="26"/>
      <c r="H30" s="27">
        <v>1</v>
      </c>
      <c r="I30" s="27" t="s">
        <v>172</v>
      </c>
      <c r="J30" s="27" t="s">
        <v>48</v>
      </c>
      <c r="K30" s="28" t="s">
        <v>159</v>
      </c>
      <c r="L30" s="29"/>
    </row>
    <row r="31" spans="1:12" s="1" customFormat="1" ht="17">
      <c r="A31" s="25">
        <v>27</v>
      </c>
      <c r="B31" s="127" t="str">
        <f t="shared" si="0"/>
        <v>Code_3:DNA B_Dox_-_Hr_48</v>
      </c>
      <c r="C31" s="26" t="s">
        <v>208</v>
      </c>
      <c r="D31" s="26" t="s">
        <v>46</v>
      </c>
      <c r="E31" s="82">
        <v>48</v>
      </c>
      <c r="F31" s="26"/>
      <c r="G31" s="26"/>
      <c r="H31" s="27">
        <v>1</v>
      </c>
      <c r="I31" s="27" t="s">
        <v>172</v>
      </c>
      <c r="J31" s="27" t="s">
        <v>48</v>
      </c>
      <c r="K31" s="28" t="s">
        <v>160</v>
      </c>
      <c r="L31" s="29"/>
    </row>
    <row r="32" spans="1:12" s="1" customFormat="1" ht="17">
      <c r="A32" s="25">
        <v>28</v>
      </c>
      <c r="B32" s="127" t="str">
        <f t="shared" si="0"/>
        <v>Code_4:DNA C_Dox_-_Hr_48</v>
      </c>
      <c r="C32" s="26" t="s">
        <v>209</v>
      </c>
      <c r="D32" s="26" t="s">
        <v>46</v>
      </c>
      <c r="E32" s="82">
        <v>48</v>
      </c>
      <c r="F32" s="26"/>
      <c r="G32" s="26"/>
      <c r="H32" s="27">
        <v>1</v>
      </c>
      <c r="I32" s="27" t="s">
        <v>172</v>
      </c>
      <c r="J32" s="27" t="s">
        <v>48</v>
      </c>
      <c r="K32" s="28" t="s">
        <v>161</v>
      </c>
      <c r="L32" s="29"/>
    </row>
    <row r="33" spans="1:12" s="1" customFormat="1" ht="17">
      <c r="A33" s="25">
        <v>29</v>
      </c>
      <c r="B33" s="127" t="str">
        <f t="shared" si="0"/>
        <v>Code_5:DNA D_Dox_-_Hr_48</v>
      </c>
      <c r="C33" s="26" t="s">
        <v>210</v>
      </c>
      <c r="D33" s="26" t="s">
        <v>46</v>
      </c>
      <c r="E33" s="82">
        <v>48</v>
      </c>
      <c r="F33" s="26"/>
      <c r="G33" s="26"/>
      <c r="H33" s="27">
        <v>1</v>
      </c>
      <c r="I33" s="27" t="s">
        <v>172</v>
      </c>
      <c r="J33" s="27" t="s">
        <v>48</v>
      </c>
      <c r="K33" s="28" t="s">
        <v>162</v>
      </c>
      <c r="L33" s="29"/>
    </row>
    <row r="34" spans="1:12" s="1" customFormat="1" ht="17">
      <c r="A34" s="25">
        <v>30</v>
      </c>
      <c r="B34" s="127" t="str">
        <f t="shared" si="0"/>
        <v>Code_1:DNA X_Dox_+_Hr_48</v>
      </c>
      <c r="C34" s="26" t="s">
        <v>189</v>
      </c>
      <c r="D34" s="26" t="s">
        <v>45</v>
      </c>
      <c r="E34" s="82">
        <v>48</v>
      </c>
      <c r="F34" s="26"/>
      <c r="G34" s="26"/>
      <c r="H34" s="27">
        <v>1</v>
      </c>
      <c r="I34" s="27" t="s">
        <v>172</v>
      </c>
      <c r="J34" s="27" t="s">
        <v>48</v>
      </c>
      <c r="K34" s="28" t="s">
        <v>163</v>
      </c>
      <c r="L34" s="29"/>
    </row>
    <row r="35" spans="1:12" s="1" customFormat="1" ht="17">
      <c r="A35" s="25">
        <v>31</v>
      </c>
      <c r="B35" s="127" t="str">
        <f t="shared" si="0"/>
        <v>Code_2:DNA A_Dox_+_Hr_48</v>
      </c>
      <c r="C35" s="26" t="s">
        <v>201</v>
      </c>
      <c r="D35" s="26" t="s">
        <v>45</v>
      </c>
      <c r="E35" s="82">
        <v>48</v>
      </c>
      <c r="F35" s="26"/>
      <c r="G35" s="26"/>
      <c r="H35" s="27">
        <v>1</v>
      </c>
      <c r="I35" s="27" t="s">
        <v>172</v>
      </c>
      <c r="J35" s="27" t="s">
        <v>48</v>
      </c>
      <c r="K35" s="28" t="s">
        <v>164</v>
      </c>
      <c r="L35" s="29"/>
    </row>
    <row r="36" spans="1:12" s="1" customFormat="1" ht="17">
      <c r="A36" s="25">
        <v>32</v>
      </c>
      <c r="B36" s="127" t="str">
        <f t="shared" si="0"/>
        <v>Code_3:DNA B_Dox_+_Hr_48</v>
      </c>
      <c r="C36" s="26" t="s">
        <v>208</v>
      </c>
      <c r="D36" s="26" t="s">
        <v>45</v>
      </c>
      <c r="E36" s="82">
        <v>48</v>
      </c>
      <c r="F36" s="26"/>
      <c r="G36" s="26"/>
      <c r="H36" s="27">
        <v>1</v>
      </c>
      <c r="I36" s="27" t="s">
        <v>172</v>
      </c>
      <c r="J36" s="27" t="s">
        <v>48</v>
      </c>
      <c r="K36" s="28" t="s">
        <v>165</v>
      </c>
      <c r="L36" s="29"/>
    </row>
    <row r="37" spans="1:12" s="1" customFormat="1" ht="17">
      <c r="A37" s="25">
        <v>33</v>
      </c>
      <c r="B37" s="127" t="str">
        <f t="shared" si="0"/>
        <v>Code_4:DNA C_Dox_+_Hr_48</v>
      </c>
      <c r="C37" s="26" t="s">
        <v>209</v>
      </c>
      <c r="D37" s="26" t="s">
        <v>45</v>
      </c>
      <c r="E37" s="82">
        <v>48</v>
      </c>
      <c r="F37" s="26"/>
      <c r="G37" s="26"/>
      <c r="H37" s="27">
        <v>1</v>
      </c>
      <c r="I37" s="27" t="s">
        <v>172</v>
      </c>
      <c r="J37" s="27" t="s">
        <v>166</v>
      </c>
      <c r="K37" s="28" t="s">
        <v>167</v>
      </c>
      <c r="L37" s="29"/>
    </row>
    <row r="38" spans="1:12" s="1" customFormat="1" ht="17">
      <c r="A38" s="25">
        <v>34</v>
      </c>
      <c r="B38" s="127" t="str">
        <f t="shared" si="0"/>
        <v>Code_5:DNA D_Dox_+_Hr_48</v>
      </c>
      <c r="C38" s="26" t="s">
        <v>210</v>
      </c>
      <c r="D38" s="26" t="s">
        <v>45</v>
      </c>
      <c r="E38" s="82">
        <v>48</v>
      </c>
      <c r="F38" s="26"/>
      <c r="G38" s="26"/>
      <c r="H38" s="27">
        <v>1</v>
      </c>
      <c r="I38" s="27" t="s">
        <v>172</v>
      </c>
      <c r="J38" s="27" t="s">
        <v>166</v>
      </c>
      <c r="K38" s="28" t="s">
        <v>168</v>
      </c>
      <c r="L38" s="29"/>
    </row>
    <row r="39" spans="1:12" s="1" customFormat="1" ht="17">
      <c r="A39" s="25">
        <v>35</v>
      </c>
      <c r="B39" s="127" t="str">
        <f t="shared" si="0"/>
        <v>Code_6:DNA E_Dox_+_Hr_48</v>
      </c>
      <c r="C39" s="26" t="s">
        <v>211</v>
      </c>
      <c r="D39" s="26" t="s">
        <v>45</v>
      </c>
      <c r="E39" s="82">
        <v>48</v>
      </c>
      <c r="F39" s="26"/>
      <c r="G39" s="26"/>
      <c r="H39" s="27">
        <v>1</v>
      </c>
      <c r="I39" s="27" t="s">
        <v>172</v>
      </c>
      <c r="J39" s="27" t="s">
        <v>169</v>
      </c>
      <c r="K39" s="28" t="s">
        <v>170</v>
      </c>
      <c r="L39" s="29"/>
    </row>
    <row r="40" spans="1:12" s="1" customFormat="1" ht="17">
      <c r="A40" s="25">
        <v>36</v>
      </c>
      <c r="B40" s="127" t="str">
        <f t="shared" si="0"/>
        <v>Code_6:DNA E_Dox_-_Hr_48</v>
      </c>
      <c r="C40" s="26" t="s">
        <v>211</v>
      </c>
      <c r="D40" s="26" t="s">
        <v>46</v>
      </c>
      <c r="E40" s="82">
        <v>48</v>
      </c>
      <c r="F40" s="26"/>
      <c r="G40" s="26"/>
      <c r="H40" s="27">
        <v>1</v>
      </c>
      <c r="I40" s="27" t="s">
        <v>172</v>
      </c>
      <c r="J40" s="27" t="s">
        <v>169</v>
      </c>
      <c r="K40" s="28" t="s">
        <v>186</v>
      </c>
      <c r="L40" s="29"/>
    </row>
    <row r="41" spans="1:12" s="1" customFormat="1" ht="17">
      <c r="A41" s="25">
        <v>37</v>
      </c>
      <c r="B41" s="63" t="s">
        <v>173</v>
      </c>
      <c r="C41" s="26" t="s">
        <v>212</v>
      </c>
      <c r="D41" s="26"/>
      <c r="E41" s="82">
        <v>48</v>
      </c>
      <c r="F41" s="26"/>
      <c r="G41" s="26"/>
      <c r="H41" s="27">
        <v>1</v>
      </c>
      <c r="I41" s="27" t="s">
        <v>172</v>
      </c>
      <c r="J41" s="27" t="s">
        <v>166</v>
      </c>
      <c r="K41" s="28" t="s">
        <v>174</v>
      </c>
      <c r="L41" s="29" t="s">
        <v>1</v>
      </c>
    </row>
    <row r="42" spans="1:12" s="1" customFormat="1" ht="17">
      <c r="A42" s="25">
        <v>38</v>
      </c>
      <c r="B42" s="63" t="s">
        <v>220</v>
      </c>
      <c r="C42" s="26" t="s">
        <v>214</v>
      </c>
      <c r="D42" s="26"/>
      <c r="E42" s="82">
        <v>48</v>
      </c>
      <c r="F42" s="26"/>
      <c r="G42" s="26"/>
      <c r="H42" s="27">
        <v>1</v>
      </c>
      <c r="I42" s="27" t="s">
        <v>172</v>
      </c>
      <c r="J42" s="27" t="s">
        <v>166</v>
      </c>
      <c r="K42" s="28" t="s">
        <v>175</v>
      </c>
      <c r="L42" s="29" t="s">
        <v>1</v>
      </c>
    </row>
    <row r="43" spans="1:12" s="1" customFormat="1" ht="17">
      <c r="A43" s="25">
        <v>39</v>
      </c>
      <c r="B43" s="63" t="s">
        <v>222</v>
      </c>
      <c r="C43" s="26" t="s">
        <v>215</v>
      </c>
      <c r="D43" s="26"/>
      <c r="E43" s="82">
        <v>48</v>
      </c>
      <c r="F43" s="26"/>
      <c r="G43" s="26"/>
      <c r="H43" s="27">
        <v>1</v>
      </c>
      <c r="I43" s="27" t="s">
        <v>172</v>
      </c>
      <c r="J43" s="27" t="s">
        <v>166</v>
      </c>
      <c r="K43" s="28" t="s">
        <v>176</v>
      </c>
      <c r="L43" s="29" t="s">
        <v>1</v>
      </c>
    </row>
    <row r="44" spans="1:12" s="1" customFormat="1" ht="17">
      <c r="A44" s="25">
        <v>40</v>
      </c>
      <c r="B44" s="63" t="s">
        <v>221</v>
      </c>
      <c r="C44" s="26" t="s">
        <v>216</v>
      </c>
      <c r="D44" s="26"/>
      <c r="E44" s="82">
        <v>48</v>
      </c>
      <c r="F44" s="26"/>
      <c r="G44" s="26"/>
      <c r="H44" s="27">
        <v>1</v>
      </c>
      <c r="I44" s="27" t="s">
        <v>172</v>
      </c>
      <c r="J44" s="27" t="s">
        <v>166</v>
      </c>
      <c r="K44" s="28" t="s">
        <v>177</v>
      </c>
      <c r="L44" s="29" t="s">
        <v>1</v>
      </c>
    </row>
    <row r="45" spans="1:12" s="1" customFormat="1" ht="17">
      <c r="A45" s="25">
        <v>41</v>
      </c>
      <c r="B45" s="83" t="s">
        <v>207</v>
      </c>
      <c r="C45" s="26" t="s">
        <v>207</v>
      </c>
      <c r="D45" s="26"/>
      <c r="E45" s="82">
        <v>48</v>
      </c>
      <c r="F45" s="26"/>
      <c r="G45" s="26"/>
      <c r="H45" s="27">
        <v>1</v>
      </c>
      <c r="I45" s="27" t="s">
        <v>172</v>
      </c>
      <c r="J45" s="27" t="s">
        <v>166</v>
      </c>
      <c r="K45" s="28" t="s">
        <v>178</v>
      </c>
      <c r="L45" s="29" t="s">
        <v>1</v>
      </c>
    </row>
    <row r="46" spans="1:12" s="1" customFormat="1" ht="17">
      <c r="A46" s="25">
        <v>42</v>
      </c>
      <c r="B46" s="63" t="s">
        <v>15</v>
      </c>
      <c r="C46" s="26" t="s">
        <v>213</v>
      </c>
      <c r="D46" s="26"/>
      <c r="E46" s="82">
        <v>48</v>
      </c>
      <c r="F46" s="26"/>
      <c r="G46" s="26"/>
      <c r="H46" s="27">
        <v>1</v>
      </c>
      <c r="I46" s="27" t="s">
        <v>172</v>
      </c>
      <c r="J46" s="27" t="s">
        <v>166</v>
      </c>
      <c r="K46" s="28" t="s">
        <v>179</v>
      </c>
      <c r="L46" s="29" t="s">
        <v>1</v>
      </c>
    </row>
    <row r="47" spans="1:12" s="1" customFormat="1" ht="17">
      <c r="A47" s="25">
        <v>43</v>
      </c>
      <c r="B47" s="127" t="str">
        <f t="shared" ref="B47:B58" si="1">CONCATENATE("Code_",C47,"_Dox_",D47,"_Hr_",E47,)</f>
        <v>Code_1:DNA X_Dox_-_Hr_96</v>
      </c>
      <c r="C47" s="26" t="s">
        <v>189</v>
      </c>
      <c r="D47" s="26" t="s">
        <v>46</v>
      </c>
      <c r="E47" s="82">
        <v>96</v>
      </c>
      <c r="F47" s="26"/>
      <c r="G47" s="26"/>
      <c r="H47" s="27">
        <v>1</v>
      </c>
      <c r="I47" s="27" t="s">
        <v>180</v>
      </c>
      <c r="J47" s="27" t="s">
        <v>48</v>
      </c>
      <c r="K47" s="28" t="s">
        <v>158</v>
      </c>
      <c r="L47" s="29"/>
    </row>
    <row r="48" spans="1:12" s="1" customFormat="1" ht="17">
      <c r="A48" s="25">
        <v>44</v>
      </c>
      <c r="B48" s="127" t="str">
        <f t="shared" si="1"/>
        <v>Code_2:DNA A_Dox_-_Hr_96</v>
      </c>
      <c r="C48" s="26" t="s">
        <v>201</v>
      </c>
      <c r="D48" s="26" t="s">
        <v>46</v>
      </c>
      <c r="E48" s="82">
        <v>96</v>
      </c>
      <c r="F48" s="26"/>
      <c r="G48" s="26"/>
      <c r="H48" s="27">
        <v>1</v>
      </c>
      <c r="I48" s="27" t="s">
        <v>180</v>
      </c>
      <c r="J48" s="27" t="s">
        <v>48</v>
      </c>
      <c r="K48" s="28" t="s">
        <v>159</v>
      </c>
      <c r="L48" s="29"/>
    </row>
    <row r="49" spans="1:15" s="1" customFormat="1" ht="17">
      <c r="A49" s="84">
        <v>45</v>
      </c>
      <c r="B49" s="127" t="str">
        <f t="shared" si="1"/>
        <v>Code_3:DNA B_Dox_-_Hr_96</v>
      </c>
      <c r="C49" s="26" t="s">
        <v>208</v>
      </c>
      <c r="D49" s="26" t="s">
        <v>46</v>
      </c>
      <c r="E49" s="82">
        <v>96</v>
      </c>
      <c r="F49" s="26"/>
      <c r="G49" s="26"/>
      <c r="H49" s="27">
        <v>1</v>
      </c>
      <c r="I49" s="27" t="s">
        <v>180</v>
      </c>
      <c r="J49" s="27" t="s">
        <v>48</v>
      </c>
      <c r="K49" s="28" t="s">
        <v>160</v>
      </c>
      <c r="L49" s="29"/>
    </row>
    <row r="50" spans="1:15" s="1" customFormat="1" ht="17">
      <c r="A50" s="25">
        <v>46</v>
      </c>
      <c r="B50" s="127" t="str">
        <f t="shared" si="1"/>
        <v>Code_4:DNA C_Dox_-_Hr_96</v>
      </c>
      <c r="C50" s="26" t="s">
        <v>209</v>
      </c>
      <c r="D50" s="26" t="s">
        <v>46</v>
      </c>
      <c r="E50" s="82">
        <v>96</v>
      </c>
      <c r="F50" s="85"/>
      <c r="G50" s="26"/>
      <c r="H50" s="27">
        <v>1</v>
      </c>
      <c r="I50" s="27" t="s">
        <v>180</v>
      </c>
      <c r="J50" s="27" t="s">
        <v>48</v>
      </c>
      <c r="K50" s="28" t="s">
        <v>161</v>
      </c>
      <c r="L50" s="29"/>
    </row>
    <row r="51" spans="1:15" s="1" customFormat="1" ht="17">
      <c r="A51" s="86">
        <v>47</v>
      </c>
      <c r="B51" s="127" t="str">
        <f t="shared" si="1"/>
        <v>Code_5:DNA D_Dox_-_Hr_96</v>
      </c>
      <c r="C51" s="26" t="s">
        <v>210</v>
      </c>
      <c r="D51" s="26" t="s">
        <v>46</v>
      </c>
      <c r="E51" s="82">
        <v>96</v>
      </c>
      <c r="F51" s="85"/>
      <c r="G51" s="26"/>
      <c r="H51" s="27">
        <v>1</v>
      </c>
      <c r="I51" s="27" t="s">
        <v>180</v>
      </c>
      <c r="J51" s="27" t="s">
        <v>48</v>
      </c>
      <c r="K51" s="28" t="s">
        <v>162</v>
      </c>
      <c r="L51" s="29"/>
    </row>
    <row r="52" spans="1:15" s="1" customFormat="1" ht="17">
      <c r="A52" s="25">
        <v>48</v>
      </c>
      <c r="B52" s="127" t="str">
        <f t="shared" si="1"/>
        <v>Code_1:DNA X_Dox_+_Hr_96</v>
      </c>
      <c r="C52" s="26" t="s">
        <v>189</v>
      </c>
      <c r="D52" s="26" t="s">
        <v>45</v>
      </c>
      <c r="E52" s="82">
        <v>96</v>
      </c>
      <c r="F52" s="26"/>
      <c r="G52" s="26"/>
      <c r="H52" s="27">
        <v>1</v>
      </c>
      <c r="I52" s="27" t="s">
        <v>180</v>
      </c>
      <c r="J52" s="27" t="s">
        <v>48</v>
      </c>
      <c r="K52" s="28" t="s">
        <v>163</v>
      </c>
      <c r="L52" s="29"/>
    </row>
    <row r="53" spans="1:15" s="1" customFormat="1" ht="17">
      <c r="A53" s="25">
        <v>49</v>
      </c>
      <c r="B53" s="127" t="str">
        <f t="shared" si="1"/>
        <v>Code_2:DNA A_Dox_+_Hr_96</v>
      </c>
      <c r="C53" s="26" t="s">
        <v>201</v>
      </c>
      <c r="D53" s="26" t="s">
        <v>45</v>
      </c>
      <c r="E53" s="82">
        <v>96</v>
      </c>
      <c r="F53" s="26"/>
      <c r="G53" s="26"/>
      <c r="H53" s="27">
        <v>1</v>
      </c>
      <c r="I53" s="27" t="s">
        <v>180</v>
      </c>
      <c r="J53" s="27" t="s">
        <v>48</v>
      </c>
      <c r="K53" s="28" t="s">
        <v>164</v>
      </c>
      <c r="L53" s="29"/>
    </row>
    <row r="54" spans="1:15" s="1" customFormat="1" ht="17">
      <c r="A54" s="25">
        <v>50</v>
      </c>
      <c r="B54" s="127" t="str">
        <f t="shared" si="1"/>
        <v>Code_3:DNA B_Dox_+_Hr_96</v>
      </c>
      <c r="C54" s="26" t="s">
        <v>208</v>
      </c>
      <c r="D54" s="26" t="s">
        <v>45</v>
      </c>
      <c r="E54" s="82">
        <v>96</v>
      </c>
      <c r="F54" s="26"/>
      <c r="G54" s="26"/>
      <c r="H54" s="27">
        <v>1</v>
      </c>
      <c r="I54" s="27" t="s">
        <v>180</v>
      </c>
      <c r="J54" s="27" t="s">
        <v>48</v>
      </c>
      <c r="K54" s="28" t="s">
        <v>165</v>
      </c>
      <c r="L54" s="29"/>
    </row>
    <row r="55" spans="1:15" s="1" customFormat="1" ht="17">
      <c r="A55" s="25">
        <v>51</v>
      </c>
      <c r="B55" s="127" t="str">
        <f t="shared" si="1"/>
        <v>Code_4:DNA C_Dox_+_Hr_96</v>
      </c>
      <c r="C55" s="26" t="s">
        <v>209</v>
      </c>
      <c r="D55" s="26" t="s">
        <v>45</v>
      </c>
      <c r="E55" s="82">
        <v>96</v>
      </c>
      <c r="F55" s="26"/>
      <c r="G55" s="26"/>
      <c r="H55" s="27">
        <v>1</v>
      </c>
      <c r="I55" s="27" t="s">
        <v>180</v>
      </c>
      <c r="J55" s="27" t="s">
        <v>166</v>
      </c>
      <c r="K55" s="28" t="s">
        <v>167</v>
      </c>
      <c r="L55" s="29"/>
    </row>
    <row r="56" spans="1:15" s="1" customFormat="1" ht="17">
      <c r="A56" s="25">
        <v>52</v>
      </c>
      <c r="B56" s="127" t="str">
        <f t="shared" si="1"/>
        <v>Code_5:DNA D_Dox_+_Hr_96</v>
      </c>
      <c r="C56" s="26" t="s">
        <v>210</v>
      </c>
      <c r="D56" s="26" t="s">
        <v>45</v>
      </c>
      <c r="E56" s="82">
        <v>96</v>
      </c>
      <c r="F56" s="26"/>
      <c r="G56" s="26"/>
      <c r="H56" s="27">
        <v>1</v>
      </c>
      <c r="I56" s="27" t="s">
        <v>180</v>
      </c>
      <c r="J56" s="27" t="s">
        <v>166</v>
      </c>
      <c r="K56" s="28" t="s">
        <v>168</v>
      </c>
      <c r="L56" s="29"/>
    </row>
    <row r="57" spans="1:15" s="1" customFormat="1" ht="17">
      <c r="A57" s="25">
        <v>53</v>
      </c>
      <c r="B57" s="127" t="str">
        <f t="shared" si="1"/>
        <v>Code_6:DNA E_Dox_+_Hr_96</v>
      </c>
      <c r="C57" s="26" t="s">
        <v>211</v>
      </c>
      <c r="D57" s="26" t="s">
        <v>45</v>
      </c>
      <c r="E57" s="82">
        <v>96</v>
      </c>
      <c r="F57" s="26"/>
      <c r="G57" s="26"/>
      <c r="H57" s="27">
        <v>1</v>
      </c>
      <c r="I57" s="27" t="s">
        <v>180</v>
      </c>
      <c r="J57" s="27" t="s">
        <v>169</v>
      </c>
      <c r="K57" s="28" t="s">
        <v>170</v>
      </c>
      <c r="L57" s="29"/>
    </row>
    <row r="58" spans="1:15" s="1" customFormat="1" ht="18" thickBot="1">
      <c r="A58" s="52">
        <v>54</v>
      </c>
      <c r="B58" s="127" t="str">
        <f t="shared" si="1"/>
        <v>Code_6:DNA E_Dox_-_Hr_96</v>
      </c>
      <c r="C58" s="26" t="s">
        <v>211</v>
      </c>
      <c r="D58" s="87" t="s">
        <v>46</v>
      </c>
      <c r="E58" s="88">
        <v>96</v>
      </c>
      <c r="F58" s="53"/>
      <c r="G58" s="53"/>
      <c r="H58" s="54">
        <v>1</v>
      </c>
      <c r="I58" s="89" t="s">
        <v>180</v>
      </c>
      <c r="J58" s="89" t="s">
        <v>169</v>
      </c>
      <c r="K58" s="90" t="s">
        <v>186</v>
      </c>
      <c r="L58" s="91"/>
    </row>
    <row r="59" spans="1:15" s="1" customFormat="1" ht="17" thickBot="1"/>
    <row r="60" spans="1:15" s="1" customFormat="1" ht="20" thickBot="1">
      <c r="A60" s="219" t="s">
        <v>29</v>
      </c>
      <c r="B60" s="220"/>
      <c r="C60" s="220"/>
      <c r="D60" s="220"/>
      <c r="E60" s="220"/>
      <c r="F60" s="220"/>
      <c r="G60" s="220"/>
      <c r="H60" s="220"/>
      <c r="I60" s="220"/>
      <c r="J60" s="220"/>
      <c r="K60" s="220"/>
      <c r="L60" s="220"/>
      <c r="M60" s="220"/>
      <c r="N60" s="221"/>
      <c r="O60" s="2"/>
    </row>
    <row r="61" spans="1:15" s="1" customFormat="1" ht="80">
      <c r="A61" s="33" t="s">
        <v>44</v>
      </c>
      <c r="B61" s="61" t="s">
        <v>79</v>
      </c>
      <c r="C61" s="61"/>
      <c r="D61" s="59" t="s">
        <v>63</v>
      </c>
      <c r="E61" s="59" t="s">
        <v>81</v>
      </c>
      <c r="F61" s="59" t="s">
        <v>36</v>
      </c>
      <c r="G61" s="59" t="s">
        <v>89</v>
      </c>
      <c r="H61" s="59" t="s">
        <v>86</v>
      </c>
      <c r="I61" s="32" t="s">
        <v>38</v>
      </c>
      <c r="J61" s="32" t="s">
        <v>38</v>
      </c>
      <c r="K61" s="32" t="s">
        <v>38</v>
      </c>
      <c r="L61" s="59" t="s">
        <v>42</v>
      </c>
      <c r="M61" s="59" t="s">
        <v>42</v>
      </c>
      <c r="N61" s="62" t="s">
        <v>42</v>
      </c>
      <c r="O61" s="2"/>
    </row>
    <row r="62" spans="1:15" s="1" customFormat="1" ht="32">
      <c r="A62" s="40"/>
      <c r="B62" s="24" t="s">
        <v>3</v>
      </c>
      <c r="C62" s="24"/>
      <c r="D62" s="24" t="s">
        <v>31</v>
      </c>
      <c r="E62" s="24" t="s">
        <v>80</v>
      </c>
      <c r="F62" s="24" t="s">
        <v>32</v>
      </c>
      <c r="G62" s="24" t="s">
        <v>9</v>
      </c>
      <c r="H62" s="24" t="s">
        <v>82</v>
      </c>
      <c r="I62" s="24" t="s">
        <v>6</v>
      </c>
      <c r="J62" s="24" t="s">
        <v>7</v>
      </c>
      <c r="K62" s="24" t="s">
        <v>8</v>
      </c>
      <c r="L62" s="24" t="s">
        <v>33</v>
      </c>
      <c r="M62" s="24" t="s">
        <v>34</v>
      </c>
      <c r="N62" s="30" t="s">
        <v>35</v>
      </c>
    </row>
    <row r="63" spans="1:15" s="1" customFormat="1" ht="17" thickBot="1">
      <c r="A63" s="41"/>
      <c r="B63" s="81" t="s">
        <v>181</v>
      </c>
      <c r="C63" s="81"/>
      <c r="D63" s="81" t="s">
        <v>182</v>
      </c>
      <c r="E63" s="81" t="s">
        <v>183</v>
      </c>
      <c r="F63" s="42"/>
      <c r="G63" s="42"/>
      <c r="H63" s="42"/>
      <c r="I63" s="42">
        <v>100</v>
      </c>
      <c r="J63" s="42">
        <v>0</v>
      </c>
      <c r="K63" s="42"/>
      <c r="L63" s="42">
        <v>6</v>
      </c>
      <c r="M63" s="42">
        <v>0.25</v>
      </c>
      <c r="N63" s="43">
        <v>10</v>
      </c>
    </row>
    <row r="64" spans="1:15" s="1" customFormat="1" ht="17" thickBot="1"/>
    <row r="65" spans="1:9" s="1" customFormat="1" ht="19">
      <c r="A65" s="216" t="s">
        <v>43</v>
      </c>
      <c r="B65" s="217"/>
      <c r="C65" s="217"/>
      <c r="D65" s="217"/>
      <c r="E65" s="217"/>
      <c r="F65" s="217"/>
      <c r="G65" s="217"/>
      <c r="H65" s="217"/>
      <c r="I65" s="218"/>
    </row>
    <row r="66" spans="1:9" s="1" customFormat="1" ht="34.5" customHeight="1">
      <c r="A66" s="210" t="s">
        <v>78</v>
      </c>
      <c r="B66" s="211"/>
      <c r="C66" s="211"/>
      <c r="D66" s="211"/>
      <c r="E66" s="211"/>
      <c r="F66" s="211"/>
      <c r="G66" s="211"/>
      <c r="H66" s="211"/>
      <c r="I66" s="212"/>
    </row>
    <row r="67" spans="1:9" s="1" customFormat="1">
      <c r="A67" s="210"/>
      <c r="B67" s="211"/>
      <c r="C67" s="211"/>
      <c r="D67" s="211"/>
      <c r="E67" s="211"/>
      <c r="F67" s="211"/>
      <c r="G67" s="211"/>
      <c r="H67" s="211"/>
      <c r="I67" s="212"/>
    </row>
    <row r="68" spans="1:9" s="1" customFormat="1">
      <c r="A68" s="210"/>
      <c r="B68" s="211"/>
      <c r="C68" s="211"/>
      <c r="D68" s="211"/>
      <c r="E68" s="211"/>
      <c r="F68" s="211"/>
      <c r="G68" s="211"/>
      <c r="H68" s="211"/>
      <c r="I68" s="212"/>
    </row>
    <row r="69" spans="1:9" s="1" customFormat="1" ht="17" thickBot="1">
      <c r="A69" s="213"/>
      <c r="B69" s="214"/>
      <c r="C69" s="214"/>
      <c r="D69" s="214"/>
      <c r="E69" s="214"/>
      <c r="F69" s="214"/>
      <c r="G69" s="214"/>
      <c r="H69" s="214"/>
      <c r="I69" s="215"/>
    </row>
    <row r="70" spans="1:9" s="1" customFormat="1"/>
    <row r="71" spans="1:9" s="1" customFormat="1" ht="21">
      <c r="A71" s="209" t="s">
        <v>49</v>
      </c>
      <c r="B71" s="209"/>
      <c r="C71" s="209"/>
      <c r="D71" s="209"/>
      <c r="E71" s="209"/>
      <c r="F71" s="209"/>
      <c r="G71" s="209"/>
      <c r="H71" s="209"/>
    </row>
    <row r="72" spans="1:9" s="1" customFormat="1">
      <c r="A72" s="8" t="s">
        <v>56</v>
      </c>
      <c r="B72" s="8" t="s">
        <v>50</v>
      </c>
      <c r="C72" s="104"/>
      <c r="D72" s="8" t="s">
        <v>51</v>
      </c>
      <c r="E72" s="208" t="s">
        <v>52</v>
      </c>
      <c r="F72" s="208"/>
      <c r="G72" s="208"/>
      <c r="H72" s="208"/>
    </row>
    <row r="73" spans="1:9">
      <c r="A73" t="s">
        <v>53</v>
      </c>
      <c r="B73" t="s">
        <v>54</v>
      </c>
      <c r="D73" t="s">
        <v>118</v>
      </c>
      <c r="E73" s="56" t="s">
        <v>83</v>
      </c>
    </row>
    <row r="74" spans="1:9" ht="18.75" customHeight="1">
      <c r="A74" t="s">
        <v>64</v>
      </c>
      <c r="B74" t="s">
        <v>68</v>
      </c>
      <c r="D74" t="s">
        <v>118</v>
      </c>
      <c r="E74" s="58" t="s">
        <v>65</v>
      </c>
    </row>
    <row r="75" spans="1:9" ht="18" customHeight="1">
      <c r="A75" t="s">
        <v>64</v>
      </c>
      <c r="B75" t="s">
        <v>69</v>
      </c>
      <c r="D75" t="s">
        <v>118</v>
      </c>
      <c r="E75" s="56" t="s">
        <v>66</v>
      </c>
    </row>
    <row r="76" spans="1:9">
      <c r="A76" t="s">
        <v>64</v>
      </c>
      <c r="B76" t="s">
        <v>70</v>
      </c>
      <c r="D76" t="s">
        <v>118</v>
      </c>
      <c r="E76" s="56" t="s">
        <v>73</v>
      </c>
    </row>
    <row r="77" spans="1:9">
      <c r="A77" t="s">
        <v>64</v>
      </c>
      <c r="B77" t="s">
        <v>71</v>
      </c>
      <c r="D77" t="s">
        <v>118</v>
      </c>
      <c r="E77" s="57" t="s">
        <v>67</v>
      </c>
    </row>
    <row r="78" spans="1:9">
      <c r="A78" t="s">
        <v>90</v>
      </c>
      <c r="B78" t="s">
        <v>55</v>
      </c>
      <c r="D78" t="s">
        <v>118</v>
      </c>
      <c r="E78" s="58" t="s">
        <v>119</v>
      </c>
    </row>
    <row r="79" spans="1:9">
      <c r="A79" t="s">
        <v>90</v>
      </c>
      <c r="B79" t="s">
        <v>55</v>
      </c>
      <c r="D79" t="s">
        <v>118</v>
      </c>
      <c r="E79" s="58" t="s">
        <v>120</v>
      </c>
    </row>
    <row r="80" spans="1:9">
      <c r="A80" t="s">
        <v>90</v>
      </c>
      <c r="B80" t="s">
        <v>55</v>
      </c>
      <c r="D80" t="s">
        <v>118</v>
      </c>
      <c r="E80" s="58" t="s">
        <v>121</v>
      </c>
    </row>
    <row r="81" spans="1:5">
      <c r="A81" t="s">
        <v>90</v>
      </c>
      <c r="B81" t="s">
        <v>55</v>
      </c>
      <c r="D81" t="s">
        <v>118</v>
      </c>
      <c r="E81" s="58" t="s">
        <v>91</v>
      </c>
    </row>
    <row r="82" spans="1:5">
      <c r="A82" t="s">
        <v>90</v>
      </c>
      <c r="B82" t="s">
        <v>55</v>
      </c>
      <c r="D82" t="s">
        <v>118</v>
      </c>
      <c r="E82" s="58" t="s">
        <v>92</v>
      </c>
    </row>
    <row r="83" spans="1:5">
      <c r="A83" t="s">
        <v>90</v>
      </c>
      <c r="B83" t="s">
        <v>72</v>
      </c>
      <c r="D83" t="s">
        <v>118</v>
      </c>
      <c r="E83" s="58" t="s">
        <v>93</v>
      </c>
    </row>
    <row r="84" spans="1:5">
      <c r="A84" t="s">
        <v>94</v>
      </c>
      <c r="B84" t="s">
        <v>95</v>
      </c>
      <c r="D84" t="s">
        <v>118</v>
      </c>
      <c r="E84" s="58" t="s">
        <v>96</v>
      </c>
    </row>
    <row r="85" spans="1:5">
      <c r="A85" t="s">
        <v>97</v>
      </c>
      <c r="B85" t="s">
        <v>98</v>
      </c>
      <c r="D85" t="s">
        <v>118</v>
      </c>
      <c r="E85" s="58" t="s">
        <v>99</v>
      </c>
    </row>
    <row r="86" spans="1:5">
      <c r="A86" t="s">
        <v>97</v>
      </c>
      <c r="B86" t="s">
        <v>98</v>
      </c>
      <c r="D86" t="s">
        <v>118</v>
      </c>
      <c r="E86" s="58" t="s">
        <v>99</v>
      </c>
    </row>
    <row r="87" spans="1:5">
      <c r="A87" t="s">
        <v>97</v>
      </c>
      <c r="B87" t="s">
        <v>98</v>
      </c>
      <c r="D87" t="s">
        <v>118</v>
      </c>
      <c r="E87" s="58" t="s">
        <v>99</v>
      </c>
    </row>
    <row r="88" spans="1:5">
      <c r="A88" t="s">
        <v>97</v>
      </c>
      <c r="B88" t="s">
        <v>98</v>
      </c>
      <c r="D88" t="s">
        <v>118</v>
      </c>
      <c r="E88" s="58" t="s">
        <v>99</v>
      </c>
    </row>
    <row r="89" spans="1:5">
      <c r="A89" t="s">
        <v>97</v>
      </c>
      <c r="B89" t="s">
        <v>98</v>
      </c>
      <c r="D89" t="s">
        <v>118</v>
      </c>
      <c r="E89" s="58" t="s">
        <v>99</v>
      </c>
    </row>
    <row r="90" spans="1:5">
      <c r="A90" t="s">
        <v>84</v>
      </c>
      <c r="B90" t="s">
        <v>85</v>
      </c>
      <c r="D90" t="s">
        <v>118</v>
      </c>
      <c r="E90" s="56" t="s">
        <v>100</v>
      </c>
    </row>
    <row r="91" spans="1:5">
      <c r="A91" t="s">
        <v>101</v>
      </c>
      <c r="B91" t="s">
        <v>102</v>
      </c>
      <c r="D91" t="s">
        <v>118</v>
      </c>
      <c r="E91" s="56" t="s">
        <v>103</v>
      </c>
    </row>
    <row r="92" spans="1:5">
      <c r="A92" t="s">
        <v>101</v>
      </c>
      <c r="B92" t="s">
        <v>102</v>
      </c>
      <c r="D92" t="s">
        <v>118</v>
      </c>
      <c r="E92" s="56" t="s">
        <v>104</v>
      </c>
    </row>
    <row r="93" spans="1:5">
      <c r="A93" t="s">
        <v>101</v>
      </c>
      <c r="B93" t="s">
        <v>102</v>
      </c>
      <c r="D93" t="s">
        <v>118</v>
      </c>
      <c r="E93" s="56" t="s">
        <v>105</v>
      </c>
    </row>
    <row r="94" spans="1:5">
      <c r="A94" t="s">
        <v>101</v>
      </c>
      <c r="B94" t="s">
        <v>102</v>
      </c>
      <c r="D94" t="s">
        <v>118</v>
      </c>
      <c r="E94" s="56" t="s">
        <v>106</v>
      </c>
    </row>
    <row r="95" spans="1:5">
      <c r="A95" t="s">
        <v>101</v>
      </c>
      <c r="B95" t="s">
        <v>102</v>
      </c>
      <c r="D95" t="s">
        <v>118</v>
      </c>
      <c r="E95" s="56" t="s">
        <v>107</v>
      </c>
    </row>
    <row r="96" spans="1:5">
      <c r="A96" t="s">
        <v>101</v>
      </c>
      <c r="B96" t="s">
        <v>102</v>
      </c>
      <c r="D96" t="s">
        <v>118</v>
      </c>
      <c r="E96" s="56" t="s">
        <v>108</v>
      </c>
    </row>
    <row r="97" spans="1:5">
      <c r="A97" t="s">
        <v>101</v>
      </c>
      <c r="B97" t="s">
        <v>102</v>
      </c>
      <c r="D97" t="s">
        <v>118</v>
      </c>
      <c r="E97" s="56" t="s">
        <v>109</v>
      </c>
    </row>
    <row r="98" spans="1:5">
      <c r="A98" t="s">
        <v>101</v>
      </c>
      <c r="B98" t="s">
        <v>102</v>
      </c>
      <c r="D98" t="s">
        <v>118</v>
      </c>
      <c r="E98" s="56" t="s">
        <v>110</v>
      </c>
    </row>
    <row r="99" spans="1:5">
      <c r="A99" t="s">
        <v>101</v>
      </c>
      <c r="B99" t="s">
        <v>102</v>
      </c>
      <c r="D99" t="s">
        <v>118</v>
      </c>
      <c r="E99" s="56" t="s">
        <v>111</v>
      </c>
    </row>
    <row r="100" spans="1:5">
      <c r="A100" t="s">
        <v>101</v>
      </c>
      <c r="B100" t="s">
        <v>102</v>
      </c>
      <c r="D100" t="s">
        <v>118</v>
      </c>
      <c r="E100" s="56" t="s">
        <v>112</v>
      </c>
    </row>
    <row r="101" spans="1:5">
      <c r="A101" t="s">
        <v>101</v>
      </c>
      <c r="B101" t="s">
        <v>102</v>
      </c>
      <c r="D101" t="s">
        <v>118</v>
      </c>
      <c r="E101" s="56" t="s">
        <v>113</v>
      </c>
    </row>
    <row r="102" spans="1:5">
      <c r="A102" t="s">
        <v>101</v>
      </c>
      <c r="B102" t="s">
        <v>102</v>
      </c>
      <c r="D102" t="s">
        <v>118</v>
      </c>
      <c r="E102" s="56" t="s">
        <v>114</v>
      </c>
    </row>
    <row r="103" spans="1:5">
      <c r="A103" t="s">
        <v>101</v>
      </c>
      <c r="B103" t="s">
        <v>102</v>
      </c>
      <c r="D103" t="s">
        <v>118</v>
      </c>
      <c r="E103" s="56" t="s">
        <v>115</v>
      </c>
    </row>
    <row r="104" spans="1:5">
      <c r="A104" t="s">
        <v>101</v>
      </c>
      <c r="B104" t="s">
        <v>102</v>
      </c>
      <c r="D104" t="s">
        <v>118</v>
      </c>
      <c r="E104" s="56" t="s">
        <v>116</v>
      </c>
    </row>
    <row r="105" spans="1:5">
      <c r="A105" t="s">
        <v>101</v>
      </c>
      <c r="B105" t="s">
        <v>102</v>
      </c>
      <c r="D105" t="s">
        <v>118</v>
      </c>
      <c r="E105" s="56" t="s">
        <v>117</v>
      </c>
    </row>
    <row r="106" spans="1:5">
      <c r="A106" t="s">
        <v>101</v>
      </c>
      <c r="B106" t="s">
        <v>102</v>
      </c>
      <c r="D106" t="s">
        <v>118</v>
      </c>
      <c r="E106" s="56" t="s">
        <v>117</v>
      </c>
    </row>
  </sheetData>
  <mergeCells count="8">
    <mergeCell ref="A1:J1"/>
    <mergeCell ref="A2:J2"/>
    <mergeCell ref="C3:G3"/>
    <mergeCell ref="E72:H72"/>
    <mergeCell ref="A71:H71"/>
    <mergeCell ref="A66:I69"/>
    <mergeCell ref="A65:I65"/>
    <mergeCell ref="A60:N60"/>
  </mergeCells>
  <phoneticPr fontId="26"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2.RunBatch">
                <anchor moveWithCells="1" sizeWithCells="1">
                  <from>
                    <xdr:col>0</xdr:col>
                    <xdr:colOff>12700</xdr:colOff>
                    <xdr:row>61</xdr:row>
                    <xdr:rowOff>12700</xdr:rowOff>
                  </from>
                  <to>
                    <xdr:col>1</xdr:col>
                    <xdr:colOff>12700</xdr:colOff>
                    <xdr:row>62</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Button3_Click">
                <anchor moveWithCells="1" sizeWithCells="1">
                  <from>
                    <xdr:col>12</xdr:col>
                    <xdr:colOff>12700</xdr:colOff>
                    <xdr:row>3</xdr:row>
                    <xdr:rowOff>12700</xdr:rowOff>
                  </from>
                  <to>
                    <xdr:col>13</xdr:col>
                    <xdr:colOff>1155700</xdr:colOff>
                    <xdr:row>3</xdr:row>
                    <xdr:rowOff>469900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A1"/>
  <sheetViews>
    <sheetView workbookViewId="0">
      <selection activeCell="H27" sqref="H27"/>
    </sheetView>
  </sheetViews>
  <sheetFormatPr baseColWidth="10" defaultColWidth="8.83203125" defaultRowHeight="16"/>
  <sheetData/>
  <phoneticPr fontId="26"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9"/>
  </sheetPr>
  <dimension ref="A1:I17"/>
  <sheetViews>
    <sheetView tabSelected="1" zoomScale="89" zoomScaleNormal="89" workbookViewId="0">
      <selection activeCell="A3" sqref="A3"/>
    </sheetView>
  </sheetViews>
  <sheetFormatPr baseColWidth="10" defaultColWidth="8.83203125" defaultRowHeight="16"/>
  <cols>
    <col min="1" max="1" width="32.5" customWidth="1"/>
    <col min="2" max="4" width="9.83203125" customWidth="1"/>
    <col min="5" max="5" width="10" customWidth="1"/>
    <col min="6" max="6" width="10" bestFit="1" customWidth="1"/>
    <col min="7" max="7" width="10.5" customWidth="1"/>
    <col min="8" max="8" width="44.33203125" customWidth="1"/>
    <col min="9" max="9" width="65.33203125" customWidth="1"/>
    <col min="10" max="10" width="14.83203125" customWidth="1"/>
  </cols>
  <sheetData>
    <row r="1" spans="1:9" ht="18" thickTop="1">
      <c r="A1" s="126" t="s">
        <v>203</v>
      </c>
      <c r="B1" s="222" t="s">
        <v>204</v>
      </c>
      <c r="C1" s="222"/>
    </row>
    <row r="2" spans="1:9" ht="18" thickBot="1">
      <c r="A2" s="126" t="s">
        <v>454</v>
      </c>
      <c r="B2" s="223" t="s">
        <v>202</v>
      </c>
      <c r="C2" s="223"/>
    </row>
    <row r="3" spans="1:9" ht="18" thickTop="1">
      <c r="A3" s="106" t="s">
        <v>206</v>
      </c>
      <c r="B3" s="107">
        <f t="shared" ref="B3:G3" si="0">SUM(B5:B14)</f>
        <v>250</v>
      </c>
      <c r="C3" s="107">
        <f t="shared" si="0"/>
        <v>250</v>
      </c>
      <c r="D3" s="107">
        <f t="shared" si="0"/>
        <v>250</v>
      </c>
      <c r="E3" s="107">
        <f t="shared" si="0"/>
        <v>250</v>
      </c>
      <c r="F3" s="107">
        <f t="shared" si="0"/>
        <v>250</v>
      </c>
      <c r="G3" s="98">
        <f t="shared" si="0"/>
        <v>250</v>
      </c>
    </row>
    <row r="4" spans="1:9" ht="17">
      <c r="A4" s="115" t="s">
        <v>188</v>
      </c>
      <c r="B4" s="99" t="s">
        <v>452</v>
      </c>
      <c r="C4" s="99" t="s">
        <v>453</v>
      </c>
      <c r="D4" s="99" t="s">
        <v>208</v>
      </c>
      <c r="E4" s="99" t="s">
        <v>209</v>
      </c>
      <c r="F4" s="99" t="s">
        <v>210</v>
      </c>
      <c r="G4" s="100" t="s">
        <v>211</v>
      </c>
      <c r="H4" s="112" t="s">
        <v>238</v>
      </c>
      <c r="I4" s="131" t="s">
        <v>227</v>
      </c>
    </row>
    <row r="5" spans="1:9" ht="17">
      <c r="A5" s="115" t="s">
        <v>198</v>
      </c>
      <c r="B5" s="99">
        <v>25</v>
      </c>
      <c r="C5" s="99">
        <v>25</v>
      </c>
      <c r="D5" s="99">
        <v>25</v>
      </c>
      <c r="E5" s="99">
        <v>25</v>
      </c>
      <c r="F5" s="99">
        <v>25</v>
      </c>
      <c r="G5" s="100">
        <v>25</v>
      </c>
      <c r="H5" s="112" t="s">
        <v>444</v>
      </c>
      <c r="I5" s="132" t="s">
        <v>236</v>
      </c>
    </row>
    <row r="6" spans="1:9" ht="17">
      <c r="A6" s="115" t="s">
        <v>437</v>
      </c>
      <c r="B6" s="99">
        <v>50</v>
      </c>
      <c r="C6" s="99">
        <v>50</v>
      </c>
      <c r="D6" s="99">
        <v>50</v>
      </c>
      <c r="E6" s="99">
        <v>50</v>
      </c>
      <c r="F6" s="99">
        <v>50</v>
      </c>
      <c r="G6" s="100">
        <v>50</v>
      </c>
      <c r="H6" s="112" t="s">
        <v>445</v>
      </c>
      <c r="I6" s="132" t="s">
        <v>235</v>
      </c>
    </row>
    <row r="7" spans="1:9" ht="17">
      <c r="A7" s="115" t="s">
        <v>439</v>
      </c>
      <c r="B7" s="99">
        <v>50</v>
      </c>
      <c r="C7" s="99">
        <v>50</v>
      </c>
      <c r="D7" s="99">
        <v>50</v>
      </c>
      <c r="E7" s="99">
        <v>50</v>
      </c>
      <c r="F7" s="99">
        <v>50</v>
      </c>
      <c r="G7" s="100">
        <v>50</v>
      </c>
      <c r="H7" s="112" t="s">
        <v>446</v>
      </c>
      <c r="I7" s="132" t="s">
        <v>237</v>
      </c>
    </row>
    <row r="8" spans="1:9" ht="17">
      <c r="A8" s="115" t="s">
        <v>438</v>
      </c>
      <c r="B8" s="99">
        <v>50</v>
      </c>
      <c r="C8" s="99">
        <v>50</v>
      </c>
      <c r="D8" s="99">
        <v>50</v>
      </c>
      <c r="E8" s="99">
        <v>50</v>
      </c>
      <c r="F8" s="99">
        <v>50</v>
      </c>
      <c r="G8" s="100">
        <v>50</v>
      </c>
      <c r="H8" s="112" t="s">
        <v>447</v>
      </c>
      <c r="I8" s="132" t="s">
        <v>229</v>
      </c>
    </row>
    <row r="9" spans="1:9" ht="17">
      <c r="A9" s="115" t="s">
        <v>440</v>
      </c>
      <c r="B9" s="99">
        <v>5</v>
      </c>
      <c r="C9" s="99">
        <v>34.999999999999993</v>
      </c>
      <c r="D9" s="99">
        <v>45</v>
      </c>
      <c r="E9" s="99">
        <v>5</v>
      </c>
      <c r="F9" s="99">
        <v>15</v>
      </c>
      <c r="G9" s="108"/>
      <c r="H9" s="112" t="s">
        <v>448</v>
      </c>
      <c r="I9" s="132" t="s">
        <v>232</v>
      </c>
    </row>
    <row r="10" spans="1:9" ht="17">
      <c r="A10" s="115" t="s">
        <v>190</v>
      </c>
      <c r="B10" s="99">
        <v>50</v>
      </c>
      <c r="C10" s="99"/>
      <c r="D10" s="99"/>
      <c r="E10" s="99"/>
      <c r="F10" s="99"/>
      <c r="G10" s="108"/>
      <c r="H10" s="112" t="s">
        <v>191</v>
      </c>
      <c r="I10" s="132" t="s">
        <v>232</v>
      </c>
    </row>
    <row r="11" spans="1:9" ht="17">
      <c r="A11" s="115" t="s">
        <v>190</v>
      </c>
      <c r="B11" s="99">
        <v>20</v>
      </c>
      <c r="C11" s="99">
        <v>20</v>
      </c>
      <c r="D11" s="99">
        <v>20</v>
      </c>
      <c r="E11" s="99">
        <v>20</v>
      </c>
      <c r="F11" s="99">
        <v>20</v>
      </c>
      <c r="G11" s="100">
        <v>20</v>
      </c>
      <c r="H11" s="112" t="s">
        <v>192</v>
      </c>
      <c r="I11" s="132" t="s">
        <v>232</v>
      </c>
    </row>
    <row r="12" spans="1:9" ht="17">
      <c r="A12" s="115" t="s">
        <v>441</v>
      </c>
      <c r="B12" s="99"/>
      <c r="C12" s="99">
        <v>20</v>
      </c>
      <c r="D12" s="99">
        <v>10</v>
      </c>
      <c r="E12" s="105"/>
      <c r="F12" s="105"/>
      <c r="G12" s="100">
        <v>10</v>
      </c>
      <c r="H12" s="113" t="s">
        <v>449</v>
      </c>
      <c r="I12" s="132" t="s">
        <v>234</v>
      </c>
    </row>
    <row r="13" spans="1:9" ht="17">
      <c r="A13" s="115" t="s">
        <v>442</v>
      </c>
      <c r="B13" s="99"/>
      <c r="C13" s="99"/>
      <c r="D13" s="99"/>
      <c r="E13" s="99">
        <v>50</v>
      </c>
      <c r="F13" s="99">
        <v>40</v>
      </c>
      <c r="G13" s="108"/>
      <c r="H13" s="112" t="s">
        <v>450</v>
      </c>
      <c r="I13" s="132" t="s">
        <v>233</v>
      </c>
    </row>
    <row r="14" spans="1:9" ht="18" thickBot="1">
      <c r="A14" s="116" t="s">
        <v>443</v>
      </c>
      <c r="B14" s="109"/>
      <c r="C14" s="110"/>
      <c r="D14" s="109"/>
      <c r="E14" s="109"/>
      <c r="F14" s="109"/>
      <c r="G14" s="101">
        <v>45</v>
      </c>
      <c r="H14" s="113" t="s">
        <v>451</v>
      </c>
      <c r="I14" s="132" t="s">
        <v>230</v>
      </c>
    </row>
    <row r="15" spans="1:9" ht="17" thickTop="1">
      <c r="A15" s="133"/>
      <c r="B15" s="103"/>
      <c r="C15" s="97"/>
      <c r="D15" s="103"/>
      <c r="E15" s="103"/>
      <c r="F15" s="103"/>
      <c r="G15" s="97"/>
      <c r="I15" s="132"/>
    </row>
    <row r="16" spans="1:9">
      <c r="A16" s="114"/>
      <c r="B16" s="97"/>
      <c r="C16" s="97"/>
      <c r="D16" s="97"/>
      <c r="E16" s="97"/>
      <c r="F16" s="97"/>
      <c r="G16" s="97"/>
    </row>
    <row r="17" spans="2:7">
      <c r="B17" s="97"/>
      <c r="C17" s="114"/>
      <c r="D17" s="97"/>
      <c r="E17" s="97"/>
      <c r="F17" s="97"/>
      <c r="G17" s="97"/>
    </row>
  </sheetData>
  <mergeCells count="2">
    <mergeCell ref="B1:C1"/>
    <mergeCell ref="B2:C2"/>
  </mergeCells>
  <phoneticPr fontId="26" type="noConversion"/>
  <hyperlinks>
    <hyperlink ref="I8" r:id="rId1" xr:uid="{00000000-0004-0000-0400-000000000000}"/>
    <hyperlink ref="I14" r:id="rId2" xr:uid="{00000000-0004-0000-0400-000001000000}"/>
    <hyperlink ref="I13" r:id="rId3" xr:uid="{00000000-0004-0000-0400-000002000000}"/>
    <hyperlink ref="I12" r:id="rId4" xr:uid="{00000000-0004-0000-0400-000003000000}"/>
    <hyperlink ref="I6" r:id="rId5" xr:uid="{00000000-0004-0000-0400-000004000000}"/>
    <hyperlink ref="I5" r:id="rId6" xr:uid="{00000000-0004-0000-0400-000005000000}"/>
    <hyperlink ref="I7" r:id="rId7" xr:uid="{00000000-0004-0000-0400-000006000000}"/>
    <hyperlink ref="I9" r:id="rId8" xr:uid="{00000000-0004-0000-0400-000007000000}"/>
    <hyperlink ref="I10" r:id="rId9" xr:uid="{00000000-0004-0000-0400-000008000000}"/>
    <hyperlink ref="I11" r:id="rId10" xr:uid="{00000000-0004-0000-0400-000009000000}"/>
  </hyperlinks>
  <pageMargins left="0.7" right="0.7" top="0.75" bottom="0.75" header="0.3" footer="0.3"/>
  <pageSetup paperSize="9" orientation="portrait" horizontalDpi="202" verticalDpi="196" r:id="rId1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9"/>
  </sheetPr>
  <dimension ref="A1:I14"/>
  <sheetViews>
    <sheetView workbookViewId="0">
      <selection activeCell="H16" sqref="H16"/>
    </sheetView>
  </sheetViews>
  <sheetFormatPr baseColWidth="10" defaultColWidth="8.83203125" defaultRowHeight="16"/>
  <cols>
    <col min="1" max="1" width="16.1640625" customWidth="1"/>
    <col min="2" max="7" width="8.6640625" customWidth="1"/>
    <col min="8" max="8" width="30.1640625" customWidth="1"/>
    <col min="9" max="9" width="60.6640625" customWidth="1"/>
    <col min="10" max="10" width="49.83203125" customWidth="1"/>
  </cols>
  <sheetData>
    <row r="1" spans="1:9" ht="17">
      <c r="A1" s="126" t="s">
        <v>203</v>
      </c>
      <c r="B1" s="223" t="s">
        <v>204</v>
      </c>
      <c r="C1" s="223"/>
    </row>
    <row r="2" spans="1:9" ht="18" thickBot="1">
      <c r="A2" s="126" t="s">
        <v>205</v>
      </c>
      <c r="B2" s="223" t="s">
        <v>202</v>
      </c>
      <c r="C2" s="223"/>
    </row>
    <row r="3" spans="1:9" ht="18" thickTop="1">
      <c r="A3" s="106" t="s">
        <v>193</v>
      </c>
      <c r="B3" s="107">
        <f t="shared" ref="B3:G3" si="0">SUM(B5:B9)</f>
        <v>250</v>
      </c>
      <c r="C3" s="107">
        <f t="shared" si="0"/>
        <v>250</v>
      </c>
      <c r="D3" s="107">
        <f t="shared" si="0"/>
        <v>250</v>
      </c>
      <c r="E3" s="107">
        <f t="shared" si="0"/>
        <v>250</v>
      </c>
      <c r="F3" s="107">
        <f t="shared" si="0"/>
        <v>0</v>
      </c>
      <c r="G3" s="98">
        <f t="shared" si="0"/>
        <v>250</v>
      </c>
    </row>
    <row r="4" spans="1:9" ht="34">
      <c r="A4" s="115" t="s">
        <v>187</v>
      </c>
      <c r="B4" s="99" t="s">
        <v>207</v>
      </c>
      <c r="C4" s="99" t="s">
        <v>214</v>
      </c>
      <c r="D4" s="99" t="s">
        <v>215</v>
      </c>
      <c r="E4" s="99" t="s">
        <v>216</v>
      </c>
      <c r="F4" s="99" t="s">
        <v>225</v>
      </c>
      <c r="G4" s="100" t="s">
        <v>226</v>
      </c>
      <c r="H4" s="112" t="s">
        <v>238</v>
      </c>
      <c r="I4" s="130" t="s">
        <v>227</v>
      </c>
    </row>
    <row r="5" spans="1:9" ht="17">
      <c r="A5" s="102" t="s">
        <v>196</v>
      </c>
      <c r="B5" s="99">
        <v>31.25</v>
      </c>
      <c r="C5" s="99">
        <v>31.25</v>
      </c>
      <c r="D5" s="99"/>
      <c r="E5" s="99"/>
      <c r="F5" s="99"/>
      <c r="G5" s="100"/>
      <c r="H5" s="112" t="s">
        <v>194</v>
      </c>
      <c r="I5" s="132" t="s">
        <v>228</v>
      </c>
    </row>
    <row r="6" spans="1:9" ht="17">
      <c r="A6" s="102" t="s">
        <v>197</v>
      </c>
      <c r="B6" s="99">
        <v>31.25</v>
      </c>
      <c r="C6" s="99"/>
      <c r="D6" s="99">
        <v>31.25</v>
      </c>
      <c r="E6" s="99"/>
      <c r="F6" s="99"/>
      <c r="G6" s="100"/>
      <c r="H6" s="112" t="s">
        <v>195</v>
      </c>
      <c r="I6" s="132" t="s">
        <v>231</v>
      </c>
    </row>
    <row r="7" spans="1:9" ht="17">
      <c r="A7" s="102" t="s">
        <v>198</v>
      </c>
      <c r="B7" s="99">
        <v>31.25</v>
      </c>
      <c r="C7" s="99"/>
      <c r="D7" s="99"/>
      <c r="E7" s="99">
        <v>31.25</v>
      </c>
      <c r="F7" s="99"/>
      <c r="G7" s="100"/>
      <c r="H7" s="112" t="s">
        <v>199</v>
      </c>
      <c r="I7" s="132" t="s">
        <v>236</v>
      </c>
    </row>
    <row r="8" spans="1:9" ht="17">
      <c r="A8" s="115" t="s">
        <v>190</v>
      </c>
      <c r="B8" s="99">
        <v>156.25</v>
      </c>
      <c r="C8" s="99">
        <v>218.75</v>
      </c>
      <c r="D8" s="99">
        <v>218.75</v>
      </c>
      <c r="E8" s="99">
        <v>218.75</v>
      </c>
      <c r="F8" s="99"/>
      <c r="G8" s="100">
        <v>250</v>
      </c>
      <c r="H8" s="112" t="s">
        <v>191</v>
      </c>
      <c r="I8" s="132" t="s">
        <v>232</v>
      </c>
    </row>
    <row r="9" spans="1:9" ht="18" thickBot="1">
      <c r="A9" s="116" t="s">
        <v>225</v>
      </c>
      <c r="B9" s="110"/>
      <c r="C9" s="110"/>
      <c r="D9" s="110"/>
      <c r="E9" s="110"/>
      <c r="F9" s="110" t="s">
        <v>225</v>
      </c>
      <c r="G9" s="101"/>
      <c r="H9" s="112" t="s">
        <v>225</v>
      </c>
    </row>
    <row r="10" spans="1:9" ht="17" thickTop="1">
      <c r="B10" s="97"/>
      <c r="C10" s="97"/>
      <c r="D10" s="97"/>
      <c r="E10" s="97"/>
      <c r="F10" s="97"/>
      <c r="G10" s="97"/>
    </row>
    <row r="11" spans="1:9">
      <c r="A11" s="117"/>
      <c r="B11" s="97"/>
    </row>
    <row r="12" spans="1:9">
      <c r="A12" s="117"/>
      <c r="B12" s="97"/>
    </row>
    <row r="13" spans="1:9">
      <c r="A13" s="97"/>
    </row>
    <row r="14" spans="1:9">
      <c r="A14" s="111"/>
    </row>
  </sheetData>
  <mergeCells count="2">
    <mergeCell ref="B1:C1"/>
    <mergeCell ref="B2:C2"/>
  </mergeCells>
  <phoneticPr fontId="26" type="noConversion"/>
  <hyperlinks>
    <hyperlink ref="I5" r:id="rId1" xr:uid="{00000000-0004-0000-0500-000000000000}"/>
    <hyperlink ref="I6" r:id="rId2" xr:uid="{00000000-0004-0000-0500-000001000000}"/>
    <hyperlink ref="I8" r:id="rId3" xr:uid="{00000000-0004-0000-0500-000002000000}"/>
    <hyperlink ref="I7" r:id="rId4" xr:uid="{00000000-0004-0000-0500-000003000000}"/>
  </hyperlinks>
  <pageMargins left="0.7" right="0.7" top="0.75" bottom="0.75" header="0.3" footer="0.3"/>
  <pageSetup paperSize="9" orientation="portrait" horizontalDpi="202" verticalDpi="196"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
  <sheetViews>
    <sheetView workbookViewId="0">
      <selection activeCell="J20" sqref="J20"/>
    </sheetView>
  </sheetViews>
  <sheetFormatPr baseColWidth="10" defaultColWidth="8.83203125" defaultRowHeight="16"/>
  <sheetData/>
  <phoneticPr fontId="26"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C17"/>
  <sheetViews>
    <sheetView workbookViewId="0">
      <selection activeCell="P27" sqref="P27"/>
    </sheetView>
  </sheetViews>
  <sheetFormatPr baseColWidth="10" defaultColWidth="8.83203125" defaultRowHeight="16"/>
  <cols>
    <col min="1" max="1" width="27.6640625" customWidth="1"/>
  </cols>
  <sheetData>
    <row r="1" spans="1:3">
      <c r="A1" s="136" t="s">
        <v>366</v>
      </c>
    </row>
    <row r="2" spans="1:3" ht="18">
      <c r="A2" s="137" t="s">
        <v>367</v>
      </c>
      <c r="B2" s="137" t="s">
        <v>368</v>
      </c>
    </row>
    <row r="3" spans="1:3">
      <c r="A3" s="137" t="s">
        <v>369</v>
      </c>
      <c r="B3" s="137" t="s">
        <v>370</v>
      </c>
      <c r="C3" s="137" t="s">
        <v>371</v>
      </c>
    </row>
    <row r="4" spans="1:3">
      <c r="A4" s="137"/>
    </row>
    <row r="5" spans="1:3">
      <c r="A5" s="136" t="s">
        <v>372</v>
      </c>
    </row>
    <row r="6" spans="1:3">
      <c r="A6" s="138" t="s">
        <v>373</v>
      </c>
    </row>
    <row r="7" spans="1:3">
      <c r="A7" s="138" t="s">
        <v>374</v>
      </c>
    </row>
    <row r="8" spans="1:3">
      <c r="A8" s="138" t="s">
        <v>375</v>
      </c>
    </row>
    <row r="9" spans="1:3">
      <c r="A9" s="138" t="s">
        <v>376</v>
      </c>
    </row>
    <row r="10" spans="1:3">
      <c r="A10" s="138" t="s">
        <v>377</v>
      </c>
    </row>
    <row r="11" spans="1:3">
      <c r="A11" s="138" t="s">
        <v>378</v>
      </c>
    </row>
    <row r="12" spans="1:3">
      <c r="A12" s="138" t="s">
        <v>379</v>
      </c>
    </row>
    <row r="13" spans="1:3">
      <c r="A13" s="136" t="s">
        <v>11</v>
      </c>
    </row>
    <row r="14" spans="1:3">
      <c r="A14" s="138" t="s">
        <v>380</v>
      </c>
    </row>
    <row r="15" spans="1:3">
      <c r="A15" s="138" t="s">
        <v>381</v>
      </c>
    </row>
    <row r="16" spans="1:3">
      <c r="A16" s="138" t="s">
        <v>382</v>
      </c>
    </row>
    <row r="17" spans="1:1">
      <c r="A17" s="138" t="s">
        <v>383</v>
      </c>
    </row>
  </sheetData>
  <phoneticPr fontId="26"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X184"/>
  <sheetViews>
    <sheetView topLeftCell="A157" zoomScale="78" zoomScaleNormal="78" workbookViewId="0">
      <selection activeCell="H27" sqref="H27"/>
    </sheetView>
  </sheetViews>
  <sheetFormatPr baseColWidth="10" defaultColWidth="8.83203125" defaultRowHeight="16"/>
  <sheetData>
    <row r="1" spans="1:16">
      <c r="A1" t="s">
        <v>242</v>
      </c>
    </row>
    <row r="2" spans="1:16">
      <c r="A2" t="s">
        <v>241</v>
      </c>
    </row>
    <row r="4" spans="1:16">
      <c r="A4" s="224" t="s">
        <v>245</v>
      </c>
      <c r="B4" s="224"/>
      <c r="C4" s="224"/>
      <c r="D4" s="224"/>
      <c r="E4" s="224"/>
      <c r="F4" s="224"/>
      <c r="G4" s="224"/>
      <c r="H4" s="224"/>
      <c r="I4" s="224"/>
      <c r="J4" s="224"/>
      <c r="K4" s="224"/>
      <c r="L4" s="224"/>
      <c r="M4" s="224"/>
      <c r="N4" s="224"/>
      <c r="O4" s="224"/>
      <c r="P4" s="224"/>
    </row>
    <row r="5" spans="1:16">
      <c r="A5" s="225" t="s">
        <v>244</v>
      </c>
      <c r="B5" s="225"/>
      <c r="C5" s="225"/>
      <c r="D5" s="225"/>
      <c r="E5" s="225"/>
      <c r="F5" s="225"/>
      <c r="G5" s="225"/>
      <c r="H5" s="225"/>
      <c r="I5" s="225"/>
      <c r="J5" s="225"/>
      <c r="K5" s="225"/>
      <c r="L5" s="225"/>
      <c r="M5" s="225"/>
      <c r="N5" s="225"/>
      <c r="O5" s="225"/>
      <c r="P5" s="225"/>
    </row>
    <row r="6" spans="1:16">
      <c r="A6" t="s">
        <v>246</v>
      </c>
    </row>
    <row r="7" spans="1:16">
      <c r="B7" t="s">
        <v>247</v>
      </c>
    </row>
    <row r="8" spans="1:16">
      <c r="A8" t="s">
        <v>248</v>
      </c>
    </row>
    <row r="9" spans="1:16">
      <c r="B9" t="s">
        <v>249</v>
      </c>
    </row>
    <row r="10" spans="1:16">
      <c r="A10" t="s">
        <v>250</v>
      </c>
    </row>
    <row r="11" spans="1:16">
      <c r="A11" t="s">
        <v>251</v>
      </c>
    </row>
    <row r="12" spans="1:16">
      <c r="B12" t="s">
        <v>252</v>
      </c>
    </row>
    <row r="13" spans="1:16">
      <c r="A13" t="s">
        <v>253</v>
      </c>
    </row>
    <row r="14" spans="1:16">
      <c r="A14" t="s">
        <v>254</v>
      </c>
    </row>
    <row r="16" spans="1:16">
      <c r="A16" t="s">
        <v>255</v>
      </c>
    </row>
    <row r="18" spans="1:16">
      <c r="A18" s="225" t="s">
        <v>256</v>
      </c>
      <c r="B18" s="225"/>
      <c r="C18" s="225"/>
      <c r="D18" s="225"/>
      <c r="E18" s="225"/>
      <c r="F18" s="225"/>
      <c r="G18" s="225"/>
      <c r="H18" s="225"/>
      <c r="I18" s="225"/>
      <c r="J18" s="225"/>
      <c r="K18" s="225"/>
      <c r="L18" s="225"/>
      <c r="M18" s="225"/>
      <c r="N18" s="225"/>
      <c r="O18" s="225"/>
      <c r="P18" s="225"/>
    </row>
    <row r="19" spans="1:16">
      <c r="A19" t="s">
        <v>257</v>
      </c>
    </row>
    <row r="20" spans="1:16">
      <c r="A20" t="s">
        <v>258</v>
      </c>
    </row>
    <row r="21" spans="1:16">
      <c r="A21" t="s">
        <v>259</v>
      </c>
    </row>
    <row r="22" spans="1:16">
      <c r="A22" t="s">
        <v>260</v>
      </c>
    </row>
    <row r="23" spans="1:16">
      <c r="A23" t="s">
        <v>265</v>
      </c>
    </row>
    <row r="24" spans="1:16">
      <c r="A24" t="s">
        <v>261</v>
      </c>
    </row>
    <row r="25" spans="1:16">
      <c r="A25" t="s">
        <v>262</v>
      </c>
    </row>
    <row r="26" spans="1:16">
      <c r="A26" t="s">
        <v>263</v>
      </c>
    </row>
    <row r="27" spans="1:16">
      <c r="A27" t="s">
        <v>264</v>
      </c>
    </row>
    <row r="29" spans="1:16">
      <c r="A29" s="225" t="s">
        <v>266</v>
      </c>
      <c r="B29" s="225"/>
      <c r="C29" s="225"/>
      <c r="D29" s="225"/>
      <c r="E29" s="225"/>
      <c r="F29" s="225"/>
      <c r="G29" s="225"/>
      <c r="H29" s="225"/>
      <c r="I29" s="225"/>
      <c r="J29" s="225"/>
      <c r="K29" s="225"/>
      <c r="L29" s="225"/>
      <c r="M29" s="225"/>
      <c r="N29" s="225"/>
      <c r="O29" s="225"/>
      <c r="P29" s="225"/>
    </row>
    <row r="30" spans="1:16">
      <c r="A30" t="s">
        <v>267</v>
      </c>
      <c r="F30" t="s">
        <v>268</v>
      </c>
      <c r="L30" t="s">
        <v>263</v>
      </c>
    </row>
    <row r="31" spans="1:16">
      <c r="A31" t="s">
        <v>269</v>
      </c>
      <c r="F31" t="s">
        <v>270</v>
      </c>
      <c r="L31" t="s">
        <v>271</v>
      </c>
    </row>
    <row r="32" spans="1:16">
      <c r="A32" t="s">
        <v>272</v>
      </c>
      <c r="L32" t="s">
        <v>273</v>
      </c>
    </row>
    <row r="33" spans="1:20">
      <c r="A33" t="s">
        <v>274</v>
      </c>
    </row>
    <row r="34" spans="1:20">
      <c r="A34" t="s">
        <v>275</v>
      </c>
    </row>
    <row r="35" spans="1:20">
      <c r="A35" t="s">
        <v>276</v>
      </c>
    </row>
    <row r="36" spans="1:20">
      <c r="A36" t="s">
        <v>277</v>
      </c>
    </row>
    <row r="38" spans="1:20">
      <c r="A38" s="225" t="s">
        <v>278</v>
      </c>
      <c r="B38" s="225"/>
      <c r="C38" s="225"/>
      <c r="D38" s="225"/>
      <c r="E38" s="225"/>
      <c r="F38" s="225"/>
      <c r="G38" s="225"/>
      <c r="H38" s="225"/>
      <c r="I38" s="225"/>
      <c r="J38" s="225"/>
      <c r="K38" s="225"/>
      <c r="L38" s="225"/>
      <c r="M38" s="225"/>
      <c r="N38" s="225"/>
      <c r="O38" s="225"/>
      <c r="P38" s="225"/>
    </row>
    <row r="39" spans="1:20">
      <c r="A39" t="s">
        <v>279</v>
      </c>
    </row>
    <row r="41" spans="1:20">
      <c r="A41" t="s">
        <v>280</v>
      </c>
    </row>
    <row r="43" spans="1:20">
      <c r="A43" t="s">
        <v>281</v>
      </c>
      <c r="T43" s="134"/>
    </row>
    <row r="44" spans="1:20">
      <c r="A44" t="s">
        <v>282</v>
      </c>
      <c r="T44" s="134"/>
    </row>
    <row r="45" spans="1:20">
      <c r="A45" t="s">
        <v>283</v>
      </c>
      <c r="T45" s="134"/>
    </row>
    <row r="46" spans="1:20">
      <c r="A46" t="s">
        <v>284</v>
      </c>
      <c r="T46" s="134"/>
    </row>
    <row r="48" spans="1:20">
      <c r="A48" t="s">
        <v>285</v>
      </c>
    </row>
    <row r="50" spans="1:16">
      <c r="A50" t="s">
        <v>286</v>
      </c>
    </row>
    <row r="52" spans="1:16">
      <c r="A52" t="s">
        <v>287</v>
      </c>
    </row>
    <row r="54" spans="1:16">
      <c r="A54" s="225" t="s">
        <v>288</v>
      </c>
      <c r="B54" s="225"/>
      <c r="C54" s="225"/>
      <c r="D54" s="225"/>
      <c r="E54" s="225"/>
      <c r="F54" s="225"/>
      <c r="G54" s="225"/>
      <c r="H54" s="225"/>
      <c r="I54" s="225"/>
      <c r="J54" s="225"/>
      <c r="K54" s="225"/>
      <c r="L54" s="225"/>
      <c r="M54" s="225"/>
      <c r="N54" s="225"/>
      <c r="O54" s="225"/>
      <c r="P54" s="225"/>
    </row>
    <row r="55" spans="1:16">
      <c r="A55" t="s">
        <v>289</v>
      </c>
    </row>
    <row r="56" spans="1:16">
      <c r="A56" t="s">
        <v>290</v>
      </c>
      <c r="C56" t="s">
        <v>291</v>
      </c>
    </row>
    <row r="58" spans="1:16">
      <c r="A58" t="s">
        <v>292</v>
      </c>
    </row>
    <row r="60" spans="1:16">
      <c r="A60" t="s">
        <v>293</v>
      </c>
    </row>
    <row r="62" spans="1:16">
      <c r="A62" t="s">
        <v>299</v>
      </c>
    </row>
    <row r="63" spans="1:16">
      <c r="A63" t="s">
        <v>300</v>
      </c>
    </row>
    <row r="65" spans="1:16">
      <c r="A65" t="s">
        <v>301</v>
      </c>
    </row>
    <row r="67" spans="1:16">
      <c r="A67" t="s">
        <v>294</v>
      </c>
    </row>
    <row r="69" spans="1:16">
      <c r="A69" t="s">
        <v>295</v>
      </c>
    </row>
    <row r="72" spans="1:16">
      <c r="A72" t="s">
        <v>296</v>
      </c>
    </row>
    <row r="74" spans="1:16">
      <c r="A74" t="s">
        <v>297</v>
      </c>
    </row>
    <row r="76" spans="1:16">
      <c r="A76" t="s">
        <v>298</v>
      </c>
    </row>
    <row r="79" spans="1:16">
      <c r="A79" s="225" t="s">
        <v>302</v>
      </c>
      <c r="B79" s="225"/>
      <c r="C79" s="225"/>
      <c r="D79" s="225"/>
      <c r="E79" s="225"/>
      <c r="F79" s="225"/>
      <c r="G79" s="225"/>
      <c r="H79" s="225"/>
      <c r="I79" s="225"/>
      <c r="J79" s="225"/>
      <c r="K79" s="225"/>
      <c r="L79" s="225"/>
      <c r="M79" s="225"/>
      <c r="N79" s="225"/>
      <c r="O79" s="225"/>
      <c r="P79" s="225"/>
    </row>
    <row r="80" spans="1:16">
      <c r="A80" t="s">
        <v>303</v>
      </c>
    </row>
    <row r="82" spans="1:20">
      <c r="A82" t="s">
        <v>304</v>
      </c>
      <c r="D82" t="s">
        <v>305</v>
      </c>
    </row>
    <row r="84" spans="1:20">
      <c r="A84" t="s">
        <v>306</v>
      </c>
      <c r="D84" t="s">
        <v>307</v>
      </c>
    </row>
    <row r="85" spans="1:20">
      <c r="D85" t="s">
        <v>308</v>
      </c>
    </row>
    <row r="86" spans="1:20">
      <c r="D86" t="s">
        <v>309</v>
      </c>
    </row>
    <row r="87" spans="1:20">
      <c r="D87" t="s">
        <v>310</v>
      </c>
    </row>
    <row r="89" spans="1:20">
      <c r="A89" t="s">
        <v>311</v>
      </c>
      <c r="D89" t="s">
        <v>315</v>
      </c>
      <c r="T89" s="134"/>
    </row>
    <row r="91" spans="1:20">
      <c r="A91" t="s">
        <v>312</v>
      </c>
      <c r="D91" t="s">
        <v>313</v>
      </c>
    </row>
    <row r="92" spans="1:20">
      <c r="D92" t="s">
        <v>316</v>
      </c>
    </row>
    <row r="93" spans="1:20">
      <c r="D93" t="s">
        <v>314</v>
      </c>
    </row>
    <row r="96" spans="1:20">
      <c r="A96" s="224" t="s">
        <v>317</v>
      </c>
      <c r="B96" s="224"/>
      <c r="C96" s="224"/>
      <c r="D96" s="224"/>
      <c r="E96" s="224"/>
    </row>
    <row r="98" spans="1:24">
      <c r="A98" t="s">
        <v>318</v>
      </c>
      <c r="X98" s="134"/>
    </row>
    <row r="100" spans="1:24">
      <c r="A100" t="s">
        <v>319</v>
      </c>
    </row>
    <row r="102" spans="1:24">
      <c r="A102" t="s">
        <v>320</v>
      </c>
    </row>
    <row r="104" spans="1:24">
      <c r="A104" t="s">
        <v>321</v>
      </c>
    </row>
    <row r="106" spans="1:24">
      <c r="A106" t="s">
        <v>322</v>
      </c>
    </row>
    <row r="108" spans="1:24">
      <c r="A108" t="s">
        <v>323</v>
      </c>
    </row>
    <row r="110" spans="1:24">
      <c r="A110" t="s">
        <v>324</v>
      </c>
      <c r="T110" t="s">
        <v>333</v>
      </c>
      <c r="V110" t="s">
        <v>334</v>
      </c>
    </row>
    <row r="112" spans="1:24">
      <c r="A112" t="s">
        <v>335</v>
      </c>
    </row>
    <row r="114" spans="1:5">
      <c r="A114" s="224" t="s">
        <v>325</v>
      </c>
      <c r="B114" s="224"/>
      <c r="C114" s="224"/>
      <c r="D114" s="224"/>
      <c r="E114" s="224"/>
    </row>
    <row r="116" spans="1:5">
      <c r="A116" t="s">
        <v>326</v>
      </c>
    </row>
    <row r="118" spans="1:5">
      <c r="A118" t="s">
        <v>327</v>
      </c>
    </row>
    <row r="120" spans="1:5">
      <c r="A120" t="s">
        <v>328</v>
      </c>
    </row>
    <row r="122" spans="1:5">
      <c r="A122" t="s">
        <v>329</v>
      </c>
    </row>
    <row r="124" spans="1:5">
      <c r="A124" t="s">
        <v>330</v>
      </c>
    </row>
    <row r="126" spans="1:5">
      <c r="A126" t="s">
        <v>331</v>
      </c>
    </row>
    <row r="128" spans="1:5">
      <c r="A128" t="s">
        <v>332</v>
      </c>
    </row>
    <row r="130" spans="1:16">
      <c r="A130" s="225" t="s">
        <v>336</v>
      </c>
      <c r="B130" s="225"/>
      <c r="C130" s="225"/>
      <c r="D130" s="225"/>
      <c r="E130" s="225"/>
      <c r="F130" s="225"/>
      <c r="G130" s="225"/>
      <c r="H130" s="225"/>
      <c r="I130" s="225"/>
      <c r="J130" s="225"/>
      <c r="K130" s="225"/>
      <c r="L130" s="225"/>
      <c r="M130" s="225"/>
      <c r="N130" s="225"/>
      <c r="O130" s="225"/>
      <c r="P130" s="225"/>
    </row>
    <row r="132" spans="1:16">
      <c r="A132" s="224" t="s">
        <v>337</v>
      </c>
      <c r="B132" s="224"/>
      <c r="C132" s="224"/>
      <c r="D132" s="224"/>
      <c r="E132" s="224"/>
    </row>
    <row r="133" spans="1:16">
      <c r="A133" t="s">
        <v>338</v>
      </c>
    </row>
    <row r="134" spans="1:16">
      <c r="A134" t="s">
        <v>350</v>
      </c>
    </row>
    <row r="135" spans="1:16">
      <c r="A135" t="s">
        <v>349</v>
      </c>
    </row>
    <row r="137" spans="1:16">
      <c r="A137" s="224" t="s">
        <v>339</v>
      </c>
      <c r="B137" s="224"/>
      <c r="C137" s="224"/>
      <c r="D137" s="224"/>
      <c r="E137" s="224"/>
    </row>
    <row r="139" spans="1:16">
      <c r="A139" t="s">
        <v>340</v>
      </c>
    </row>
    <row r="141" spans="1:16">
      <c r="A141" t="s">
        <v>341</v>
      </c>
    </row>
    <row r="143" spans="1:16">
      <c r="A143" t="s">
        <v>342</v>
      </c>
    </row>
    <row r="145" spans="1:5">
      <c r="A145" t="s">
        <v>348</v>
      </c>
    </row>
    <row r="147" spans="1:5">
      <c r="A147" t="s">
        <v>343</v>
      </c>
    </row>
    <row r="149" spans="1:5">
      <c r="A149" t="s">
        <v>344</v>
      </c>
    </row>
    <row r="151" spans="1:5">
      <c r="A151" s="134" t="s">
        <v>345</v>
      </c>
    </row>
    <row r="153" spans="1:5">
      <c r="A153" t="s">
        <v>346</v>
      </c>
    </row>
    <row r="155" spans="1:5">
      <c r="A155" t="s">
        <v>347</v>
      </c>
    </row>
    <row r="157" spans="1:5">
      <c r="A157" s="225" t="s">
        <v>351</v>
      </c>
      <c r="B157" s="225"/>
      <c r="C157" s="225"/>
      <c r="D157" s="225"/>
      <c r="E157" s="225"/>
    </row>
    <row r="159" spans="1:5">
      <c r="A159" s="224" t="s">
        <v>352</v>
      </c>
      <c r="B159" s="224"/>
      <c r="C159" s="224"/>
      <c r="D159" s="224"/>
      <c r="E159" s="224"/>
    </row>
    <row r="161" spans="1:5">
      <c r="A161" t="s">
        <v>354</v>
      </c>
    </row>
    <row r="163" spans="1:5">
      <c r="A163" t="s">
        <v>355</v>
      </c>
    </row>
    <row r="165" spans="1:5">
      <c r="A165" t="s">
        <v>353</v>
      </c>
    </row>
    <row r="167" spans="1:5">
      <c r="A167" s="224" t="s">
        <v>356</v>
      </c>
      <c r="B167" s="224"/>
      <c r="C167" s="224"/>
      <c r="D167" s="224"/>
      <c r="E167" s="224"/>
    </row>
    <row r="169" spans="1:5">
      <c r="A169" t="s">
        <v>357</v>
      </c>
    </row>
    <row r="171" spans="1:5">
      <c r="A171" t="s">
        <v>360</v>
      </c>
    </row>
    <row r="172" spans="1:5">
      <c r="B172" t="s">
        <v>361</v>
      </c>
    </row>
    <row r="174" spans="1:5">
      <c r="A174" t="s">
        <v>358</v>
      </c>
    </row>
    <row r="176" spans="1:5">
      <c r="A176" t="s">
        <v>359</v>
      </c>
    </row>
    <row r="178" spans="1:5">
      <c r="A178" s="224" t="s">
        <v>362</v>
      </c>
      <c r="B178" s="224"/>
      <c r="C178" s="224"/>
      <c r="D178" s="224"/>
      <c r="E178" s="224"/>
    </row>
    <row r="180" spans="1:5">
      <c r="A180" t="s">
        <v>364</v>
      </c>
    </row>
    <row r="182" spans="1:5">
      <c r="A182" t="s">
        <v>365</v>
      </c>
    </row>
    <row r="184" spans="1:5" s="135" customFormat="1">
      <c r="A184" s="135" t="s">
        <v>363</v>
      </c>
    </row>
  </sheetData>
  <mergeCells count="16">
    <mergeCell ref="A4:P4"/>
    <mergeCell ref="A5:P5"/>
    <mergeCell ref="A18:P18"/>
    <mergeCell ref="A29:P29"/>
    <mergeCell ref="A114:E114"/>
    <mergeCell ref="A54:P54"/>
    <mergeCell ref="A79:P79"/>
    <mergeCell ref="A96:E96"/>
    <mergeCell ref="A38:P38"/>
    <mergeCell ref="A167:E167"/>
    <mergeCell ref="A178:E178"/>
    <mergeCell ref="A130:P130"/>
    <mergeCell ref="A132:E132"/>
    <mergeCell ref="A137:E137"/>
    <mergeCell ref="A157:E157"/>
    <mergeCell ref="A159:E159"/>
  </mergeCells>
  <phoneticPr fontId="26" type="noConversion"/>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Q72"/>
  <sheetViews>
    <sheetView zoomScale="89" zoomScaleNormal="89" workbookViewId="0">
      <selection activeCell="M16" sqref="M16"/>
    </sheetView>
  </sheetViews>
  <sheetFormatPr baseColWidth="10" defaultColWidth="8.83203125" defaultRowHeight="16"/>
  <sheetData>
    <row r="1" spans="1:16">
      <c r="A1" s="225" t="s">
        <v>387</v>
      </c>
      <c r="B1" s="225"/>
      <c r="C1" s="225"/>
      <c r="D1" s="225"/>
      <c r="E1" s="225"/>
      <c r="F1" s="225"/>
      <c r="G1" s="225"/>
      <c r="H1" s="225"/>
      <c r="I1" s="225"/>
      <c r="J1" s="225"/>
      <c r="K1" s="225"/>
      <c r="L1" s="225"/>
      <c r="M1" s="225"/>
      <c r="N1" s="225"/>
      <c r="O1" s="225"/>
      <c r="P1" s="225"/>
    </row>
    <row r="3" spans="1:16">
      <c r="A3" s="225" t="s">
        <v>406</v>
      </c>
      <c r="B3" s="225"/>
      <c r="C3" s="225"/>
      <c r="D3" s="225"/>
      <c r="E3" s="225"/>
      <c r="F3" s="225"/>
      <c r="G3" s="225"/>
      <c r="H3" s="225"/>
      <c r="I3" s="225"/>
      <c r="J3" s="225"/>
      <c r="K3" s="225"/>
      <c r="L3" s="225"/>
      <c r="M3" s="225"/>
      <c r="N3" s="225"/>
      <c r="O3" s="225"/>
      <c r="P3" s="225"/>
    </row>
    <row r="4" spans="1:16">
      <c r="A4" t="s">
        <v>384</v>
      </c>
    </row>
    <row r="5" spans="1:16">
      <c r="A5" t="s">
        <v>385</v>
      </c>
    </row>
    <row r="6" spans="1:16">
      <c r="A6" t="s">
        <v>386</v>
      </c>
    </row>
    <row r="8" spans="1:16">
      <c r="A8" s="224" t="s">
        <v>388</v>
      </c>
      <c r="B8" s="224"/>
      <c r="C8" s="224"/>
      <c r="D8" s="224"/>
      <c r="E8" s="224"/>
      <c r="F8" s="224"/>
      <c r="G8" s="224"/>
      <c r="H8" s="224"/>
      <c r="I8" s="224"/>
      <c r="J8" s="224"/>
      <c r="K8" s="224"/>
      <c r="L8" s="224"/>
      <c r="M8" s="224"/>
      <c r="N8" s="224"/>
      <c r="O8" s="224"/>
      <c r="P8" s="224"/>
    </row>
    <row r="10" spans="1:16">
      <c r="A10" t="s">
        <v>389</v>
      </c>
    </row>
    <row r="11" spans="1:16">
      <c r="A11" t="s">
        <v>390</v>
      </c>
    </row>
    <row r="22" spans="1:16">
      <c r="A22" s="224" t="s">
        <v>391</v>
      </c>
      <c r="B22" s="224"/>
      <c r="C22" s="224"/>
      <c r="D22" s="224"/>
      <c r="E22" s="224"/>
      <c r="F22" s="224"/>
      <c r="G22" s="224"/>
      <c r="H22" s="224"/>
      <c r="I22" s="224"/>
      <c r="J22" s="224"/>
      <c r="K22" s="224"/>
      <c r="L22" s="224"/>
      <c r="M22" s="224"/>
      <c r="N22" s="224"/>
      <c r="O22" s="224"/>
      <c r="P22" s="224"/>
    </row>
    <row r="24" spans="1:16">
      <c r="A24" t="s">
        <v>393</v>
      </c>
    </row>
    <row r="25" spans="1:16">
      <c r="A25" t="s">
        <v>392</v>
      </c>
    </row>
    <row r="38" spans="1:16">
      <c r="A38" s="225" t="s">
        <v>407</v>
      </c>
      <c r="B38" s="225"/>
      <c r="C38" s="225"/>
      <c r="D38" s="225"/>
      <c r="E38" s="225"/>
      <c r="F38" s="225"/>
      <c r="G38" s="225"/>
      <c r="H38" s="225"/>
      <c r="I38" s="225"/>
      <c r="J38" s="225"/>
      <c r="K38" s="225"/>
      <c r="L38" s="225"/>
      <c r="M38" s="225"/>
      <c r="N38" s="225"/>
      <c r="O38" s="225"/>
      <c r="P38" s="225"/>
    </row>
    <row r="40" spans="1:16">
      <c r="A40" s="224" t="s">
        <v>408</v>
      </c>
      <c r="B40" s="224"/>
      <c r="C40" s="224"/>
      <c r="D40" s="224"/>
      <c r="E40" s="224"/>
      <c r="F40" s="224"/>
      <c r="G40" s="224"/>
      <c r="H40" s="224"/>
      <c r="I40" s="224"/>
      <c r="J40" s="224"/>
      <c r="K40" s="224"/>
      <c r="L40" s="224"/>
      <c r="M40" s="224"/>
      <c r="N40" s="224"/>
      <c r="O40" s="224"/>
      <c r="P40" s="224"/>
    </row>
    <row r="42" spans="1:16">
      <c r="A42" t="s">
        <v>394</v>
      </c>
    </row>
    <row r="43" spans="1:16">
      <c r="A43" t="s">
        <v>395</v>
      </c>
    </row>
    <row r="45" spans="1:16">
      <c r="A45" s="224" t="s">
        <v>409</v>
      </c>
      <c r="B45" s="224"/>
      <c r="C45" s="224"/>
      <c r="D45" s="224"/>
      <c r="E45" s="224"/>
      <c r="F45" s="224"/>
      <c r="G45" s="224"/>
      <c r="H45" s="224"/>
      <c r="I45" s="224"/>
      <c r="J45" s="224"/>
      <c r="K45" s="224"/>
      <c r="L45" s="224"/>
      <c r="M45" s="224"/>
      <c r="N45" s="224"/>
      <c r="O45" s="224"/>
      <c r="P45" s="224"/>
    </row>
    <row r="47" spans="1:16">
      <c r="A47" t="s">
        <v>396</v>
      </c>
    </row>
    <row r="48" spans="1:16">
      <c r="B48" t="s">
        <v>397</v>
      </c>
    </row>
    <row r="49" spans="1:17">
      <c r="B49" t="s">
        <v>398</v>
      </c>
    </row>
    <row r="50" spans="1:17">
      <c r="A50" t="s">
        <v>399</v>
      </c>
    </row>
    <row r="51" spans="1:17">
      <c r="B51" t="s">
        <v>397</v>
      </c>
    </row>
    <row r="52" spans="1:17">
      <c r="B52" t="s">
        <v>400</v>
      </c>
    </row>
    <row r="53" spans="1:17">
      <c r="A53" t="s">
        <v>401</v>
      </c>
    </row>
    <row r="55" spans="1:17">
      <c r="A55" s="224" t="s">
        <v>410</v>
      </c>
      <c r="B55" s="224"/>
      <c r="C55" s="224"/>
      <c r="D55" s="224"/>
      <c r="E55" s="224"/>
      <c r="F55" s="224"/>
      <c r="G55" s="224"/>
      <c r="H55" s="224"/>
      <c r="I55" s="224"/>
      <c r="J55" s="224"/>
      <c r="K55" s="224"/>
      <c r="L55" s="224"/>
      <c r="M55" s="224"/>
      <c r="N55" s="224"/>
      <c r="O55" s="224"/>
      <c r="P55" s="224"/>
    </row>
    <row r="57" spans="1:17">
      <c r="A57" t="s">
        <v>402</v>
      </c>
    </row>
    <row r="58" spans="1:17">
      <c r="A58" s="139" t="s">
        <v>403</v>
      </c>
      <c r="B58" s="139"/>
      <c r="C58" s="139"/>
      <c r="D58" s="139"/>
      <c r="E58" s="139"/>
      <c r="F58" s="139"/>
      <c r="G58" s="139"/>
      <c r="H58" s="139"/>
      <c r="I58" s="139"/>
      <c r="J58" s="139"/>
      <c r="K58" s="139"/>
      <c r="L58" s="139"/>
      <c r="M58" s="139"/>
      <c r="N58" s="139"/>
      <c r="O58" s="139"/>
      <c r="P58" s="139"/>
      <c r="Q58" s="139"/>
    </row>
    <row r="59" spans="1:17">
      <c r="A59" t="s">
        <v>405</v>
      </c>
    </row>
    <row r="60" spans="1:17">
      <c r="A60" t="s">
        <v>404</v>
      </c>
    </row>
    <row r="62" spans="1:17">
      <c r="A62" t="s">
        <v>411</v>
      </c>
    </row>
    <row r="63" spans="1:17">
      <c r="A63" s="132" t="s">
        <v>412</v>
      </c>
    </row>
    <row r="66" spans="1:16">
      <c r="A66" s="224" t="s">
        <v>417</v>
      </c>
      <c r="B66" s="224"/>
      <c r="C66" s="224"/>
      <c r="D66" s="224"/>
      <c r="E66" s="224"/>
      <c r="F66" s="224"/>
      <c r="G66" s="224"/>
      <c r="H66" s="224"/>
      <c r="I66" s="224"/>
      <c r="J66" s="224"/>
      <c r="K66" s="224"/>
      <c r="L66" s="224"/>
      <c r="M66" s="224"/>
      <c r="N66" s="224"/>
      <c r="O66" s="224"/>
      <c r="P66" s="224"/>
    </row>
    <row r="68" spans="1:16">
      <c r="A68" t="s">
        <v>414</v>
      </c>
    </row>
    <row r="69" spans="1:16">
      <c r="A69" t="s">
        <v>415</v>
      </c>
    </row>
    <row r="70" spans="1:16">
      <c r="A70" t="s">
        <v>416</v>
      </c>
    </row>
    <row r="72" spans="1:16">
      <c r="A72" s="132" t="s">
        <v>413</v>
      </c>
    </row>
  </sheetData>
  <mergeCells count="9">
    <mergeCell ref="A45:P45"/>
    <mergeCell ref="A55:P55"/>
    <mergeCell ref="A66:P66"/>
    <mergeCell ref="A1:P1"/>
    <mergeCell ref="A8:P8"/>
    <mergeCell ref="A22:P22"/>
    <mergeCell ref="A3:P3"/>
    <mergeCell ref="A38:P38"/>
    <mergeCell ref="A40:P40"/>
  </mergeCells>
  <phoneticPr fontId="26" type="noConversion"/>
  <hyperlinks>
    <hyperlink ref="A63" r:id="rId1" xr:uid="{00000000-0004-0000-0900-000000000000}"/>
    <hyperlink ref="A72" r:id="rId2" xr:uid="{00000000-0004-0000-0900-000001000000}"/>
  </hyperlinks>
  <pageMargins left="0.7" right="0.7" top="0.75" bottom="0.75" header="0.3" footer="0.3"/>
  <pageSetup paperSize="9" orientation="portrait" horizontalDpi="0" verticalDpi="0" r:id="rId3"/>
  <drawing r:id="rId4"/>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Experiment</vt:lpstr>
      <vt:lpstr>Protocol</vt:lpstr>
      <vt:lpstr>Samples</vt:lpstr>
      <vt:lpstr>Plate Layout</vt:lpstr>
      <vt:lpstr>Experiment DNA sample</vt:lpstr>
      <vt:lpstr>Calibration DNA sample</vt:lpstr>
      <vt:lpstr>CORE protocol</vt:lpstr>
      <vt:lpstr>PEI transfection</vt:lpstr>
      <vt:lpstr>Growth and maintenance of 293FT</vt:lpstr>
      <vt:lpstr>Dox induction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cp:lastPrinted>2018-07-09T16:54:58Z</cp:lastPrinted>
  <dcterms:created xsi:type="dcterms:W3CDTF">2018-06-21T12:31:33Z</dcterms:created>
  <dcterms:modified xsi:type="dcterms:W3CDTF">2019-06-07T15:07:08Z</dcterms:modified>
</cp:coreProperties>
</file>